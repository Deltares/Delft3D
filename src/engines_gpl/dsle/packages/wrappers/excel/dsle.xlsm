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libzsf\wrappers\excel\"/>
    </mc:Choice>
  </mc:AlternateContent>
  <xr:revisionPtr revIDLastSave="0" documentId="13_ncr:1_{1D4E4DBC-2917-49C5-BB23-D41AADF195C1}" xr6:coauthVersionLast="44" xr6:coauthVersionMax="44" xr10:uidLastSave="{00000000-0000-0000-0000-000000000000}"/>
  <bookViews>
    <workbookView xWindow="-120" yWindow="-120" windowWidth="51840" windowHeight="21240" activeTab="1" xr2:uid="{00000000-000D-0000-FFFF-FFFF00000000}"/>
  </bookViews>
  <sheets>
    <sheet name="Steady" sheetId="1" r:id="rId1"/>
    <sheet name="Phase" sheetId="2" r:id="rId2"/>
  </sheets>
  <functionGroups builtInGroupCount="19"/>
  <externalReferences>
    <externalReference r:id="rId3"/>
  </externalReferences>
  <definedNames>
    <definedName name="A">'[1]Enkele berekening'!$B$7</definedName>
    <definedName name="B">'[1]Enkele berekening'!$B$8</definedName>
    <definedName name="CE">'[1]Enkele berekening'!$B$9</definedName>
    <definedName name="rho_0">'[1]Enkele berekening'!$B$10</definedName>
    <definedName name="S">'[1]Enkele berekening'!$B$5</definedName>
    <definedName name="t">'[1]Enkele berekening'!$B$4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1" i="2" l="1"/>
  <c r="A32" i="2"/>
  <c r="A33" i="2"/>
  <c r="A34" i="2"/>
  <c r="A35" i="2"/>
  <c r="A36" i="2"/>
  <c r="A37" i="2"/>
  <c r="A38" i="2"/>
  <c r="H40" i="1" l="1"/>
  <c r="L39" i="1"/>
  <c r="L40" i="1" s="1"/>
  <c r="H39" i="1"/>
  <c r="G39" i="1"/>
  <c r="G40" i="1" s="1"/>
  <c r="A39" i="1"/>
  <c r="A40" i="1" s="1"/>
  <c r="G38" i="1" l="1"/>
  <c r="A38" i="1"/>
  <c r="L37" i="1"/>
  <c r="L38" i="1" s="1"/>
  <c r="H37" i="1"/>
  <c r="H38" i="1" s="1"/>
  <c r="G37" i="1"/>
  <c r="A37" i="1"/>
  <c r="G5" i="1" l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G24" i="1" s="1"/>
  <c r="G25" i="1" s="1"/>
  <c r="G26" i="1" s="1"/>
  <c r="G27" i="1" s="1"/>
  <c r="G28" i="1" s="1"/>
  <c r="G29" i="1" s="1"/>
  <c r="G30" i="1" s="1"/>
  <c r="G31" i="1" s="1"/>
  <c r="G32" i="1" s="1"/>
  <c r="G33" i="1" s="1"/>
  <c r="G34" i="1" s="1"/>
  <c r="G35" i="1" s="1"/>
  <c r="G36" i="1" s="1"/>
  <c r="H5" i="1" l="1"/>
  <c r="H6" i="1"/>
  <c r="H7" i="1"/>
  <c r="H8" i="1"/>
  <c r="H9" i="1"/>
  <c r="H10" i="1"/>
  <c r="H11" i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L5" i="1" l="1"/>
  <c r="L6" i="1" s="1"/>
  <c r="L7" i="1" s="1"/>
  <c r="L8" i="1" s="1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L9" i="1" l="1"/>
  <c r="L10" i="1" s="1"/>
  <c r="L11" i="1" s="1"/>
  <c r="L20" i="1"/>
  <c r="L21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</calcChain>
</file>

<file path=xl/sharedStrings.xml><?xml version="1.0" encoding="utf-8"?>
<sst xmlns="http://schemas.openxmlformats.org/spreadsheetml/2006/main" count="353" uniqueCount="92">
  <si>
    <t>Boundary Conditions</t>
  </si>
  <si>
    <t>Geometry</t>
  </si>
  <si>
    <t>Operation</t>
  </si>
  <si>
    <t>Measures</t>
  </si>
  <si>
    <t>Essential Output</t>
  </si>
  <si>
    <t>Salt Transport Characteristics</t>
  </si>
  <si>
    <t>Salinity in Lock Chamber</t>
  </si>
  <si>
    <t>Transported Salt Mass per Phase</t>
  </si>
  <si>
    <t>m DAT</t>
  </si>
  <si>
    <t>kg/m3</t>
  </si>
  <si>
    <t>oC</t>
  </si>
  <si>
    <t>m</t>
  </si>
  <si>
    <t>-</t>
  </si>
  <si>
    <t>min</t>
  </si>
  <si>
    <t>m3</t>
  </si>
  <si>
    <t>m3/s</t>
  </si>
  <si>
    <t>kg</t>
  </si>
  <si>
    <t>kg/s</t>
  </si>
  <si>
    <t>scenario nr.</t>
  </si>
  <si>
    <t>Head Lake</t>
  </si>
  <si>
    <t>Head Sea</t>
  </si>
  <si>
    <t>Salinity Lake</t>
  </si>
  <si>
    <t>Salinity Sea</t>
  </si>
  <si>
    <t>Lock Length</t>
  </si>
  <si>
    <t>Lock Width</t>
  </si>
  <si>
    <t>Lock Bottom</t>
  </si>
  <si>
    <t># of Cycles / Day</t>
  </si>
  <si>
    <t>Time to Open Door</t>
  </si>
  <si>
    <t>Levelling Time</t>
  </si>
  <si>
    <t>Calibration Factor</t>
  </si>
  <si>
    <t>Symmetry Coefficient</t>
  </si>
  <si>
    <t>Volume Ship Up</t>
  </si>
  <si>
    <t>Volume Ship Down</t>
  </si>
  <si>
    <t>η Lake</t>
  </si>
  <si>
    <t>η Sea</t>
  </si>
  <si>
    <t>Flushing Low Tide</t>
  </si>
  <si>
    <t>Flushing High Tide</t>
  </si>
  <si>
    <t>Mass Transport to Lake</t>
  </si>
  <si>
    <t>Mass Flux to Lake</t>
  </si>
  <si>
    <t>Discharge from Lake</t>
  </si>
  <si>
    <t>Discharge to Lake</t>
  </si>
  <si>
    <t>Salinity to Lake</t>
  </si>
  <si>
    <t>Mass Transport to Sea</t>
  </si>
  <si>
    <t>Mass Flux to Sea</t>
  </si>
  <si>
    <t>Discharge from Sea</t>
  </si>
  <si>
    <t>Discharge to Sea</t>
  </si>
  <si>
    <t>Salinity to Sea</t>
  </si>
  <si>
    <t>Time per Cycle</t>
  </si>
  <si>
    <t>Time Door Open</t>
  </si>
  <si>
    <t>Time Door Lake Open</t>
  </si>
  <si>
    <t>Time Door Sea Open</t>
  </si>
  <si>
    <t>Dimensionless Door Open Time</t>
  </si>
  <si>
    <t>Z-Fraction</t>
  </si>
  <si>
    <t>Sal. Lock Phase 1</t>
  </si>
  <si>
    <t>Sal. Lock Phase 2</t>
  </si>
  <si>
    <t>Sal. Lock Phase 3</t>
  </si>
  <si>
    <t>Sal. Lock Phase 4</t>
  </si>
  <si>
    <t>MT Lake Phase 1</t>
  </si>
  <si>
    <t>MT Lake Phase 2</t>
  </si>
  <si>
    <t>MT Lake Phase 4</t>
  </si>
  <si>
    <t>MT Lake (Total)</t>
  </si>
  <si>
    <t>MT Sea Phase 2</t>
  </si>
  <si>
    <t>MT Sea Phase 3</t>
  </si>
  <si>
    <t>MT Sea Phase 4</t>
  </si>
  <si>
    <t>MT Sea (Total)</t>
  </si>
  <si>
    <t>Routine</t>
  </si>
  <si>
    <t>Steady</t>
  </si>
  <si>
    <t>Stepwise</t>
  </si>
  <si>
    <t>s</t>
  </si>
  <si>
    <t xml:space="preserve">s </t>
  </si>
  <si>
    <t>State</t>
  </si>
  <si>
    <t>Sal Lock</t>
  </si>
  <si>
    <t>Saltmass Lock</t>
  </si>
  <si>
    <t>Head Lock</t>
  </si>
  <si>
    <t>Volume Ship In Lock</t>
  </si>
  <si>
    <t>Initalize State</t>
  </si>
  <si>
    <t>Init Head Lock</t>
  </si>
  <si>
    <t>Init Sal Lock</t>
  </si>
  <si>
    <t>Transports this Phase</t>
  </si>
  <si>
    <t>Volume to Lake</t>
  </si>
  <si>
    <t>Volume from Lake</t>
  </si>
  <si>
    <t xml:space="preserve">Volume from Sea </t>
  </si>
  <si>
    <t>Volume to Sea</t>
  </si>
  <si>
    <t>Temperature Lake</t>
  </si>
  <si>
    <t>Temperature Sea</t>
  </si>
  <si>
    <t>Discharge To Lake</t>
  </si>
  <si>
    <t>Sill Height Lake</t>
  </si>
  <si>
    <t>Sill Height Sea</t>
  </si>
  <si>
    <t>Distance Door Bubble Screen Lake</t>
  </si>
  <si>
    <t>Distance Door Bubble Screen Sea</t>
  </si>
  <si>
    <t>Flush</t>
  </si>
  <si>
    <t>Time Flushing Doors Closed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</si>
</sst>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 * #,##0.00_ ;_ * \-#,##0.00_ ;_ * &quot;-&quot;??_ ;_ @_ "/>
    <numFmt numFmtId="165" formatCode="#,##0_ ;\-#,##0\ "/>
    <numFmt numFmtId="166" formatCode="#,##0.0_ ;\-#,##0.0\ "/>
    <numFmt numFmtId="167" formatCode="#,##0.00_ ;\-#,##0.00\ "/>
    <numFmt numFmtId="168" formatCode="0.0"/>
    <numFmt numFmtId="169" formatCode="#,##0.000_ ;\-#,##0.000\ 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0"/>
      <name val="Arial"/>
      <family val="2"/>
    </font>
    <font>
      <b/>
      <sz val="11"/>
      <name val="Calibri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1" fillId="0" borderId="0"/>
    <xf numFmtId="164" fontId="1" fillId="0" borderId="0"/>
    <xf numFmtId="0" fontId="1" fillId="0" borderId="0"/>
    <xf numFmtId="164" fontId="1" fillId="0" borderId="0"/>
    <xf numFmtId="0" fontId="4" fillId="0" borderId="0"/>
  </cellStyleXfs>
  <cellXfs count="88">
    <xf numFmtId="0" fontId="0" fillId="0" borderId="0" xfId="0"/>
    <xf numFmtId="165" fontId="0" fillId="0" borderId="0" xfId="1" applyNumberFormat="1" applyFont="1" applyAlignment="1">
      <alignment horizontal="center"/>
    </xf>
    <xf numFmtId="166" fontId="2" fillId="0" borderId="0" xfId="1" applyNumberFormat="1" applyFont="1" applyAlignment="1">
      <alignment horizontal="right"/>
    </xf>
    <xf numFmtId="166" fontId="2" fillId="0" borderId="0" xfId="1" applyNumberFormat="1" applyFont="1" applyAlignment="1">
      <alignment horizontal="right" textRotation="90"/>
    </xf>
    <xf numFmtId="166" fontId="2" fillId="0" borderId="2" xfId="1" applyNumberFormat="1" applyFont="1" applyBorder="1" applyAlignment="1">
      <alignment horizontal="right" textRotation="90"/>
    </xf>
    <xf numFmtId="166" fontId="2" fillId="0" borderId="2" xfId="1" applyNumberFormat="1" applyFont="1" applyBorder="1" applyAlignment="1">
      <alignment horizontal="center" textRotation="90"/>
    </xf>
    <xf numFmtId="166" fontId="2" fillId="0" borderId="5" xfId="1" applyNumberFormat="1" applyFont="1" applyBorder="1" applyAlignment="1">
      <alignment horizontal="center" textRotation="90"/>
    </xf>
    <xf numFmtId="166" fontId="2" fillId="0" borderId="6" xfId="1" applyNumberFormat="1" applyFont="1" applyBorder="1" applyAlignment="1">
      <alignment horizontal="center" textRotation="90"/>
    </xf>
    <xf numFmtId="166" fontId="2" fillId="0" borderId="7" xfId="1" applyNumberFormat="1" applyFont="1" applyBorder="1" applyAlignment="1">
      <alignment horizontal="center" textRotation="90"/>
    </xf>
    <xf numFmtId="165" fontId="2" fillId="0" borderId="6" xfId="1" applyNumberFormat="1" applyFont="1" applyBorder="1" applyAlignment="1">
      <alignment horizontal="center" textRotation="90"/>
    </xf>
    <xf numFmtId="167" fontId="3" fillId="0" borderId="5" xfId="1" applyNumberFormat="1" applyFont="1" applyBorder="1" applyAlignment="1">
      <alignment horizontal="center" textRotation="90"/>
    </xf>
    <xf numFmtId="165" fontId="2" fillId="0" borderId="0" xfId="2" applyNumberFormat="1" applyFont="1" applyAlignment="1">
      <alignment horizontal="center"/>
    </xf>
    <xf numFmtId="165" fontId="0" fillId="0" borderId="0" xfId="2" applyNumberFormat="1" applyFont="1" applyAlignment="1">
      <alignment horizontal="right"/>
    </xf>
    <xf numFmtId="166" fontId="0" fillId="0" borderId="0" xfId="2" applyNumberFormat="1" applyFont="1" applyAlignment="1">
      <alignment horizontal="right"/>
    </xf>
    <xf numFmtId="167" fontId="0" fillId="0" borderId="0" xfId="2" applyNumberFormat="1" applyFont="1" applyAlignment="1">
      <alignment horizontal="right"/>
    </xf>
    <xf numFmtId="168" fontId="0" fillId="0" borderId="0" xfId="2" applyNumberFormat="1" applyFont="1" applyAlignment="1">
      <alignment horizontal="center"/>
    </xf>
    <xf numFmtId="169" fontId="0" fillId="0" borderId="0" xfId="2" applyNumberFormat="1" applyFont="1" applyAlignment="1">
      <alignment horizontal="right"/>
    </xf>
    <xf numFmtId="168" fontId="0" fillId="2" borderId="0" xfId="2" applyNumberFormat="1" applyFont="1" applyFill="1" applyAlignment="1">
      <alignment horizontal="center"/>
    </xf>
    <xf numFmtId="0" fontId="0" fillId="0" borderId="0" xfId="0"/>
    <xf numFmtId="0" fontId="0" fillId="0" borderId="0" xfId="0" applyAlignment="1">
      <alignment horizontal="right"/>
    </xf>
    <xf numFmtId="165" fontId="5" fillId="0" borderId="9" xfId="1" applyNumberFormat="1" applyFont="1" applyBorder="1" applyAlignment="1">
      <alignment horizontal="center" vertical="top"/>
    </xf>
    <xf numFmtId="0" fontId="0" fillId="0" borderId="0" xfId="0"/>
    <xf numFmtId="0" fontId="0" fillId="0" borderId="0" xfId="0" applyAlignment="1">
      <alignment horizontal="right"/>
    </xf>
    <xf numFmtId="0" fontId="0" fillId="0" borderId="0" xfId="0"/>
    <xf numFmtId="166" fontId="2" fillId="0" borderId="4" xfId="1" applyNumberFormat="1" applyFont="1" applyBorder="1" applyAlignment="1">
      <alignment horizontal="right" textRotation="90"/>
    </xf>
    <xf numFmtId="166" fontId="2" fillId="0" borderId="12" xfId="1" applyNumberFormat="1" applyFont="1" applyBorder="1" applyAlignment="1">
      <alignment horizontal="right" textRotation="90"/>
    </xf>
    <xf numFmtId="166" fontId="2" fillId="0" borderId="6" xfId="1" applyNumberFormat="1" applyFont="1" applyBorder="1" applyAlignment="1">
      <alignment horizontal="right" textRotation="90"/>
    </xf>
    <xf numFmtId="166" fontId="2" fillId="0" borderId="0" xfId="1" applyNumberFormat="1" applyFont="1" applyFill="1" applyBorder="1" applyAlignment="1">
      <alignment horizontal="right" textRotation="90"/>
    </xf>
    <xf numFmtId="166" fontId="2" fillId="0" borderId="1" xfId="1" applyNumberFormat="1" applyFont="1" applyBorder="1" applyAlignment="1">
      <alignment horizontal="right" textRotation="90"/>
    </xf>
    <xf numFmtId="166" fontId="2" fillId="0" borderId="14" xfId="1" applyNumberFormat="1" applyFont="1" applyBorder="1" applyAlignment="1">
      <alignment horizontal="right" textRotation="90"/>
    </xf>
    <xf numFmtId="168" fontId="0" fillId="0" borderId="0" xfId="2" applyNumberFormat="1" applyFont="1" applyFill="1" applyAlignment="1">
      <alignment horizontal="center"/>
    </xf>
    <xf numFmtId="168" fontId="6" fillId="0" borderId="0" xfId="2" applyNumberFormat="1" applyFont="1" applyFill="1" applyAlignment="1">
      <alignment horizontal="center"/>
    </xf>
    <xf numFmtId="166" fontId="2" fillId="0" borderId="11" xfId="1" applyNumberFormat="1" applyFont="1" applyBorder="1" applyAlignment="1">
      <alignment horizontal="center" textRotation="90"/>
    </xf>
    <xf numFmtId="166" fontId="2" fillId="0" borderId="0" xfId="1" applyNumberFormat="1" applyFont="1" applyBorder="1" applyAlignment="1">
      <alignment horizontal="center" textRotation="90"/>
    </xf>
    <xf numFmtId="165" fontId="2" fillId="0" borderId="11" xfId="1" applyNumberFormat="1" applyFont="1" applyBorder="1" applyAlignment="1">
      <alignment horizontal="center" textRotation="90"/>
    </xf>
    <xf numFmtId="166" fontId="2" fillId="0" borderId="15" xfId="1" applyNumberFormat="1" applyFont="1" applyBorder="1" applyAlignment="1">
      <alignment horizontal="center" textRotation="90"/>
    </xf>
    <xf numFmtId="168" fontId="6" fillId="0" borderId="10" xfId="2" applyNumberFormat="1" applyFont="1" applyFill="1" applyBorder="1" applyAlignment="1">
      <alignment horizontal="center"/>
    </xf>
    <xf numFmtId="168" fontId="6" fillId="0" borderId="0" xfId="2" applyNumberFormat="1" applyFont="1" applyFill="1" applyBorder="1" applyAlignment="1">
      <alignment horizontal="center"/>
    </xf>
    <xf numFmtId="165" fontId="0" fillId="0" borderId="0" xfId="1" applyNumberFormat="1" applyFont="1" applyFill="1" applyAlignment="1">
      <alignment horizontal="center"/>
    </xf>
    <xf numFmtId="165" fontId="2" fillId="3" borderId="10" xfId="1" applyNumberFormat="1" applyFont="1" applyFill="1" applyBorder="1" applyAlignment="1">
      <alignment horizontal="center" textRotation="90"/>
    </xf>
    <xf numFmtId="165" fontId="2" fillId="3" borderId="3" xfId="1" applyNumberFormat="1" applyFont="1" applyFill="1" applyBorder="1" applyAlignment="1">
      <alignment horizontal="center" textRotation="90"/>
    </xf>
    <xf numFmtId="166" fontId="2" fillId="3" borderId="14" xfId="1" applyNumberFormat="1" applyFont="1" applyFill="1" applyBorder="1" applyAlignment="1">
      <alignment horizontal="right" textRotation="90"/>
    </xf>
    <xf numFmtId="166" fontId="2" fillId="3" borderId="2" xfId="1" applyNumberFormat="1" applyFont="1" applyFill="1" applyBorder="1" applyAlignment="1">
      <alignment horizontal="right" textRotation="90"/>
    </xf>
    <xf numFmtId="166" fontId="2" fillId="4" borderId="1" xfId="1" applyNumberFormat="1" applyFont="1" applyFill="1" applyBorder="1" applyAlignment="1">
      <alignment horizontal="center" textRotation="90"/>
    </xf>
    <xf numFmtId="166" fontId="2" fillId="4" borderId="3" xfId="1" applyNumberFormat="1" applyFont="1" applyFill="1" applyBorder="1" applyAlignment="1">
      <alignment horizontal="center" textRotation="90"/>
    </xf>
    <xf numFmtId="165" fontId="2" fillId="4" borderId="1" xfId="1" applyNumberFormat="1" applyFont="1" applyFill="1" applyBorder="1" applyAlignment="1">
      <alignment horizontal="center" textRotation="90"/>
    </xf>
    <xf numFmtId="166" fontId="2" fillId="4" borderId="4" xfId="1" applyNumberFormat="1" applyFont="1" applyFill="1" applyBorder="1" applyAlignment="1">
      <alignment horizontal="center" textRotation="90"/>
    </xf>
    <xf numFmtId="165" fontId="2" fillId="4" borderId="3" xfId="1" applyNumberFormat="1" applyFont="1" applyFill="1" applyBorder="1" applyAlignment="1">
      <alignment horizontal="center" textRotation="90"/>
    </xf>
    <xf numFmtId="165" fontId="2" fillId="4" borderId="4" xfId="1" applyNumberFormat="1" applyFont="1" applyFill="1" applyBorder="1" applyAlignment="1">
      <alignment horizontal="center" textRotation="90"/>
    </xf>
    <xf numFmtId="167" fontId="3" fillId="4" borderId="1" xfId="1" quotePrefix="1" applyNumberFormat="1" applyFont="1" applyFill="1" applyBorder="1" applyAlignment="1">
      <alignment horizontal="center" textRotation="90"/>
    </xf>
    <xf numFmtId="167" fontId="3" fillId="4" borderId="3" xfId="1" quotePrefix="1" applyNumberFormat="1" applyFont="1" applyFill="1" applyBorder="1" applyAlignment="1">
      <alignment horizontal="center" textRotation="90"/>
    </xf>
    <xf numFmtId="166" fontId="2" fillId="0" borderId="3" xfId="1" applyNumberFormat="1" applyFont="1" applyFill="1" applyBorder="1" applyAlignment="1">
      <alignment horizontal="center" textRotation="90"/>
    </xf>
    <xf numFmtId="166" fontId="2" fillId="5" borderId="3" xfId="1" applyNumberFormat="1" applyFont="1" applyFill="1" applyBorder="1" applyAlignment="1">
      <alignment horizontal="center" textRotation="90"/>
    </xf>
    <xf numFmtId="166" fontId="2" fillId="4" borderId="2" xfId="1" applyNumberFormat="1" applyFont="1" applyFill="1" applyBorder="1" applyAlignment="1">
      <alignment horizontal="right" textRotation="90"/>
    </xf>
    <xf numFmtId="166" fontId="2" fillId="4" borderId="2" xfId="1" applyNumberFormat="1" applyFont="1" applyFill="1" applyBorder="1" applyAlignment="1">
      <alignment horizontal="center" textRotation="90"/>
    </xf>
    <xf numFmtId="166" fontId="2" fillId="4" borderId="1" xfId="1" applyNumberFormat="1" applyFont="1" applyFill="1" applyBorder="1" applyAlignment="1">
      <alignment horizontal="right" textRotation="90"/>
    </xf>
    <xf numFmtId="1" fontId="0" fillId="0" borderId="13" xfId="2" applyNumberFormat="1" applyFont="1" applyBorder="1" applyAlignment="1">
      <alignment horizontal="right"/>
    </xf>
    <xf numFmtId="1" fontId="0" fillId="0" borderId="0" xfId="2" applyNumberFormat="1" applyFont="1" applyAlignment="1">
      <alignment horizontal="right"/>
    </xf>
    <xf numFmtId="1" fontId="0" fillId="0" borderId="0" xfId="0" applyNumberFormat="1"/>
    <xf numFmtId="1" fontId="0" fillId="0" borderId="13" xfId="0" applyNumberFormat="1" applyBorder="1" applyAlignment="1">
      <alignment horizontal="right"/>
    </xf>
    <xf numFmtId="1" fontId="0" fillId="0" borderId="0" xfId="0" applyNumberFormat="1" applyAlignment="1">
      <alignment horizontal="right"/>
    </xf>
    <xf numFmtId="168" fontId="0" fillId="0" borderId="0" xfId="0" applyNumberFormat="1"/>
    <xf numFmtId="1" fontId="2" fillId="0" borderId="2" xfId="1" applyNumberFormat="1" applyFont="1" applyBorder="1" applyAlignment="1">
      <alignment horizontal="right" textRotation="90"/>
    </xf>
    <xf numFmtId="168" fontId="2" fillId="0" borderId="2" xfId="1" applyNumberFormat="1" applyFont="1" applyBorder="1" applyAlignment="1">
      <alignment horizontal="right" textRotation="90"/>
    </xf>
    <xf numFmtId="168" fontId="1" fillId="0" borderId="0" xfId="2" applyNumberFormat="1" applyFont="1" applyBorder="1" applyAlignment="1">
      <alignment horizontal="center"/>
    </xf>
    <xf numFmtId="168" fontId="6" fillId="0" borderId="0" xfId="2" applyNumberFormat="1" applyFont="1" applyBorder="1" applyAlignment="1">
      <alignment horizontal="center"/>
    </xf>
    <xf numFmtId="168" fontId="6" fillId="2" borderId="0" xfId="2" applyNumberFormat="1" applyFont="1" applyFill="1" applyAlignment="1">
      <alignment horizontal="center"/>
    </xf>
    <xf numFmtId="166" fontId="2" fillId="3" borderId="9" xfId="1" applyNumberFormat="1" applyFont="1" applyFill="1" applyBorder="1" applyAlignment="1">
      <alignment horizontal="right" textRotation="90"/>
    </xf>
    <xf numFmtId="166" fontId="2" fillId="0" borderId="9" xfId="1" applyNumberFormat="1" applyFont="1" applyBorder="1" applyAlignment="1">
      <alignment horizontal="right" textRotation="90"/>
    </xf>
    <xf numFmtId="167" fontId="3" fillId="0" borderId="6" xfId="1" applyNumberFormat="1" applyFont="1" applyBorder="1" applyAlignment="1">
      <alignment horizontal="center" textRotation="90"/>
    </xf>
    <xf numFmtId="167" fontId="3" fillId="0" borderId="0" xfId="1" applyNumberFormat="1" applyFont="1" applyBorder="1" applyAlignment="1">
      <alignment horizontal="center" textRotation="90"/>
    </xf>
    <xf numFmtId="166" fontId="2" fillId="0" borderId="16" xfId="1" applyNumberFormat="1" applyFont="1" applyFill="1" applyBorder="1" applyAlignment="1">
      <alignment horizontal="right" textRotation="90"/>
    </xf>
    <xf numFmtId="166" fontId="2" fillId="0" borderId="4" xfId="1" applyNumberFormat="1" applyFont="1" applyBorder="1" applyAlignment="1">
      <alignment horizontal="center" textRotation="90"/>
    </xf>
    <xf numFmtId="166" fontId="2" fillId="3" borderId="2" xfId="1" applyNumberFormat="1" applyFont="1" applyFill="1" applyBorder="1" applyAlignment="1">
      <alignment horizontal="center"/>
    </xf>
    <xf numFmtId="0" fontId="0" fillId="3" borderId="0" xfId="0" applyFill="1" applyAlignment="1">
      <alignment horizontal="right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166" fontId="2" fillId="4" borderId="1" xfId="1" applyNumberFormat="1" applyFont="1" applyFill="1" applyBorder="1" applyAlignment="1">
      <alignment horizontal="center"/>
    </xf>
    <xf numFmtId="0" fontId="0" fillId="4" borderId="0" xfId="0" applyFill="1"/>
    <xf numFmtId="166" fontId="2" fillId="4" borderId="2" xfId="1" applyNumberFormat="1" applyFont="1" applyFill="1" applyBorder="1" applyAlignment="1">
      <alignment horizontal="center"/>
    </xf>
    <xf numFmtId="0" fontId="0" fillId="4" borderId="0" xfId="0" applyFill="1" applyAlignment="1">
      <alignment horizontal="right"/>
    </xf>
    <xf numFmtId="0" fontId="2" fillId="4" borderId="1" xfId="0" applyFont="1" applyFill="1" applyBorder="1" applyAlignment="1">
      <alignment horizontal="center"/>
    </xf>
    <xf numFmtId="166" fontId="2" fillId="4" borderId="8" xfId="1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166" fontId="2" fillId="0" borderId="10" xfId="1" applyNumberFormat="1" applyFont="1" applyBorder="1" applyAlignment="1">
      <alignment horizontal="right" textRotation="90"/>
    </xf>
    <xf numFmtId="166" fontId="2" fillId="0" borderId="3" xfId="1" applyNumberFormat="1" applyFont="1" applyBorder="1" applyAlignment="1">
      <alignment horizontal="right" textRotation="90"/>
    </xf>
    <xf numFmtId="166" fontId="2" fillId="0" borderId="16" xfId="1" applyNumberFormat="1" applyFont="1" applyBorder="1" applyAlignment="1">
      <alignment horizontal="right" textRotation="90"/>
    </xf>
    <xf numFmtId="165" fontId="2" fillId="3" borderId="4" xfId="1" applyNumberFormat="1" applyFont="1" applyFill="1" applyBorder="1" applyAlignment="1">
      <alignment horizontal="center" textRotation="90"/>
    </xf>
  </cellXfs>
  <cellStyles count="6">
    <cellStyle name="Comma" xfId="1" builtinId="3"/>
    <cellStyle name="Comma 2" xfId="3" xr:uid="{00000000-0005-0000-0000-000003000000}"/>
    <cellStyle name="Comma 3" xfId="2" xr:uid="{00000000-0005-0000-0000-000002000000}"/>
    <cellStyle name="Comma 4" xfId="4" xr:uid="{00000000-0005-0000-0000-000004000000}"/>
    <cellStyle name="Normal" xfId="0" builtinId="0"/>
    <cellStyle name="Normal 2" xfId="5" xr:uid="{00000000-0005-0000-0000-000005000000}"/>
  </cellStyles>
  <dxfs count="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5.%20Actueel\05.07.%2011200741.003%20Zoutindringing%20-%20NKvdT\2018\03%20Code%20en%20berekeningen\ppt2rh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kele berekening"/>
      <sheetName val="Scatting d-rho obv d-S"/>
      <sheetName val="getransponeerd"/>
    </sheetNames>
    <sheetDataSet>
      <sheetData sheetId="0">
        <row r="4">
          <cell r="B4">
            <v>15</v>
          </cell>
        </row>
        <row r="5">
          <cell r="B5">
            <v>5</v>
          </cell>
        </row>
        <row r="7">
          <cell r="B7">
            <v>0.78339905343749994</v>
          </cell>
        </row>
        <row r="8">
          <cell r="B8">
            <v>-4.5628990000000005E-3</v>
          </cell>
        </row>
        <row r="9">
          <cell r="B9">
            <v>4.8314000000000001E-4</v>
          </cell>
        </row>
        <row r="10">
          <cell r="B10">
            <v>999.10157456273737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40"/>
  <sheetViews>
    <sheetView zoomScale="85" zoomScaleNormal="85" workbookViewId="0">
      <pane xSplit="1" ySplit="3" topLeftCell="B4" activePane="bottomRight" state="frozen"/>
      <selection activeCell="AV25" sqref="AV25"/>
      <selection pane="topRight" activeCell="AV25" sqref="AV25"/>
      <selection pane="bottomLeft" activeCell="AV25" sqref="AV25"/>
      <selection pane="bottomRight" activeCell="C4" sqref="C4:C40"/>
    </sheetView>
  </sheetViews>
  <sheetFormatPr defaultColWidth="8.7109375" defaultRowHeight="15" x14ac:dyDescent="0.25"/>
  <cols>
    <col min="1" max="1" width="18.7109375" customWidth="1"/>
    <col min="2" max="2" width="10.140625" style="21" customWidth="1"/>
    <col min="7" max="7" width="8.7109375" style="23"/>
    <col min="19" max="19" width="8.7109375" style="21"/>
    <col min="20" max="20" width="8.7109375" style="23"/>
    <col min="21" max="23" width="8.7109375" style="21"/>
    <col min="25" max="25" width="8.7109375" style="18" customWidth="1"/>
    <col min="26" max="29" width="8.7109375" style="23"/>
    <col min="32" max="32" width="5.42578125" style="18" customWidth="1"/>
    <col min="33" max="33" width="8.7109375" style="19" customWidth="1"/>
    <col min="34" max="34" width="10.7109375" style="19" customWidth="1"/>
    <col min="35" max="38" width="8.7109375" style="19" customWidth="1"/>
    <col min="39" max="39" width="10.7109375" style="19" customWidth="1"/>
    <col min="40" max="47" width="8.7109375" style="19" customWidth="1"/>
    <col min="48" max="48" width="9.28515625" style="19" customWidth="1"/>
    <col min="49" max="49" width="11.5703125" style="19" customWidth="1"/>
    <col min="50" max="50" width="8.7109375" style="18" customWidth="1"/>
    <col min="51" max="53" width="8.7109375" style="19" customWidth="1"/>
    <col min="54" max="54" width="9.5703125" style="19" customWidth="1"/>
    <col min="55" max="55" width="10.28515625" style="19" bestFit="1" customWidth="1"/>
    <col min="56" max="56" width="8.7109375" style="19" customWidth="1"/>
    <col min="57" max="57" width="12.7109375" style="19" bestFit="1" customWidth="1"/>
    <col min="58" max="58" width="8.7109375" style="19" customWidth="1"/>
    <col min="59" max="59" width="12.28515625" style="19" bestFit="1" customWidth="1"/>
    <col min="60" max="61" width="12.7109375" style="19" bestFit="1" customWidth="1"/>
    <col min="62" max="62" width="12.7109375" style="59" customWidth="1"/>
    <col min="63" max="66" width="12.7109375" style="60" customWidth="1"/>
    <col min="67" max="67" width="12.7109375" style="58" customWidth="1"/>
    <col min="68" max="68" width="8.85546875" style="61" bestFit="1" customWidth="1"/>
    <col min="69" max="69" width="11.42578125" style="58" bestFit="1" customWidth="1"/>
    <col min="70" max="70" width="8.85546875" style="61" bestFit="1" customWidth="1"/>
    <col min="71" max="71" width="8.85546875" style="58" bestFit="1" customWidth="1"/>
  </cols>
  <sheetData>
    <row r="1" spans="1:77" ht="14.45" customHeight="1" x14ac:dyDescent="0.25">
      <c r="A1" s="1"/>
      <c r="B1" s="1"/>
      <c r="C1" s="77" t="s">
        <v>0</v>
      </c>
      <c r="D1" s="78"/>
      <c r="E1" s="78"/>
      <c r="F1" s="78"/>
      <c r="G1" s="78"/>
      <c r="H1" s="78"/>
      <c r="I1" s="77" t="s">
        <v>1</v>
      </c>
      <c r="J1" s="78"/>
      <c r="K1" s="78"/>
      <c r="L1" s="81" t="s">
        <v>2</v>
      </c>
      <c r="M1" s="78"/>
      <c r="N1" s="78"/>
      <c r="O1" s="78"/>
      <c r="P1" s="78"/>
      <c r="Q1" s="78"/>
      <c r="R1" s="78"/>
      <c r="S1" s="83" t="s">
        <v>67</v>
      </c>
      <c r="T1" s="83"/>
      <c r="U1" s="76"/>
      <c r="V1" s="75" t="s">
        <v>75</v>
      </c>
      <c r="W1" s="76"/>
      <c r="X1" s="82" t="s">
        <v>3</v>
      </c>
      <c r="Y1" s="78"/>
      <c r="Z1" s="78"/>
      <c r="AA1" s="78"/>
      <c r="AB1" s="78"/>
      <c r="AC1" s="78"/>
      <c r="AD1" s="78"/>
      <c r="AE1" s="78"/>
      <c r="AF1" s="23"/>
      <c r="AG1" s="2"/>
      <c r="AH1" s="77" t="s">
        <v>4</v>
      </c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77" t="s">
        <v>5</v>
      </c>
      <c r="AW1" s="80"/>
      <c r="AX1" s="79" t="s">
        <v>6</v>
      </c>
      <c r="AY1" s="80"/>
      <c r="AZ1" s="80"/>
      <c r="BA1" s="80"/>
      <c r="BB1" s="79" t="s">
        <v>7</v>
      </c>
      <c r="BC1" s="80"/>
      <c r="BD1" s="80"/>
      <c r="BE1" s="80"/>
      <c r="BF1" s="80"/>
      <c r="BG1" s="80"/>
      <c r="BH1" s="80"/>
      <c r="BI1" s="80"/>
      <c r="BJ1" s="75" t="s">
        <v>78</v>
      </c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76"/>
      <c r="BV1" s="73" t="s">
        <v>70</v>
      </c>
      <c r="BW1" s="74"/>
      <c r="BX1" s="74"/>
      <c r="BY1" s="74"/>
    </row>
    <row r="2" spans="1:77" ht="49.9" customHeight="1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39" t="s">
        <v>68</v>
      </c>
      <c r="U2" s="87" t="s">
        <v>68</v>
      </c>
      <c r="V2" s="40" t="s">
        <v>9</v>
      </c>
      <c r="W2" s="40" t="s">
        <v>8</v>
      </c>
      <c r="X2" s="49" t="s">
        <v>12</v>
      </c>
      <c r="Y2" s="50" t="s">
        <v>12</v>
      </c>
      <c r="Z2" s="44" t="s">
        <v>15</v>
      </c>
      <c r="AA2" s="44" t="s">
        <v>15</v>
      </c>
      <c r="AB2" s="44" t="s">
        <v>11</v>
      </c>
      <c r="AC2" s="44" t="s">
        <v>11</v>
      </c>
      <c r="AD2" s="44" t="s">
        <v>11</v>
      </c>
      <c r="AE2" s="46" t="s">
        <v>11</v>
      </c>
      <c r="AF2" s="23"/>
      <c r="AG2" s="3"/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16</v>
      </c>
      <c r="AN2" s="53" t="s">
        <v>17</v>
      </c>
      <c r="AO2" s="53" t="s">
        <v>15</v>
      </c>
      <c r="AP2" s="53" t="s">
        <v>15</v>
      </c>
      <c r="AQ2" s="53" t="s">
        <v>9</v>
      </c>
      <c r="AR2" s="53" t="s">
        <v>68</v>
      </c>
      <c r="AS2" s="53" t="s">
        <v>68</v>
      </c>
      <c r="AT2" s="53" t="s">
        <v>68</v>
      </c>
      <c r="AU2" s="53" t="s">
        <v>68</v>
      </c>
      <c r="AV2" s="53" t="s">
        <v>12</v>
      </c>
      <c r="AW2" s="53" t="s">
        <v>12</v>
      </c>
      <c r="AX2" s="54" t="s">
        <v>9</v>
      </c>
      <c r="AY2" s="53" t="s">
        <v>9</v>
      </c>
      <c r="AZ2" s="53" t="s">
        <v>9</v>
      </c>
      <c r="BA2" s="53" t="s">
        <v>9</v>
      </c>
      <c r="BB2" s="53" t="s">
        <v>16</v>
      </c>
      <c r="BC2" s="53" t="s">
        <v>16</v>
      </c>
      <c r="BD2" s="53" t="s">
        <v>16</v>
      </c>
      <c r="BE2" s="53" t="s">
        <v>16</v>
      </c>
      <c r="BF2" s="53" t="s">
        <v>16</v>
      </c>
      <c r="BG2" s="53" t="s">
        <v>16</v>
      </c>
      <c r="BH2" s="53" t="s">
        <v>16</v>
      </c>
      <c r="BI2" s="55" t="s">
        <v>16</v>
      </c>
      <c r="BJ2" s="41" t="s">
        <v>16</v>
      </c>
      <c r="BK2" s="42" t="s">
        <v>14</v>
      </c>
      <c r="BL2" s="42" t="s">
        <v>14</v>
      </c>
      <c r="BM2" s="67" t="s">
        <v>15</v>
      </c>
      <c r="BN2" s="67" t="s">
        <v>15</v>
      </c>
      <c r="BO2" s="67" t="s">
        <v>9</v>
      </c>
      <c r="BP2" s="42" t="s">
        <v>16</v>
      </c>
      <c r="BQ2" s="42" t="s">
        <v>14</v>
      </c>
      <c r="BR2" s="67" t="s">
        <v>14</v>
      </c>
      <c r="BS2" s="67" t="s">
        <v>15</v>
      </c>
      <c r="BT2" s="67" t="s">
        <v>15</v>
      </c>
      <c r="BU2" s="42" t="s">
        <v>9</v>
      </c>
      <c r="BV2" s="42"/>
      <c r="BW2" s="42"/>
      <c r="BX2" s="42"/>
      <c r="BY2" s="42"/>
    </row>
    <row r="3" spans="1:77" ht="155.2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84" t="s">
        <v>50</v>
      </c>
      <c r="U3" s="24" t="s">
        <v>91</v>
      </c>
      <c r="V3" s="26" t="s">
        <v>77</v>
      </c>
      <c r="W3" s="27" t="s">
        <v>76</v>
      </c>
      <c r="X3" s="10" t="s">
        <v>33</v>
      </c>
      <c r="Y3" s="70" t="s">
        <v>34</v>
      </c>
      <c r="Z3" s="7" t="s">
        <v>35</v>
      </c>
      <c r="AA3" s="33" t="s">
        <v>36</v>
      </c>
      <c r="AB3" s="33" t="s">
        <v>88</v>
      </c>
      <c r="AC3" s="33" t="s">
        <v>89</v>
      </c>
      <c r="AD3" s="7" t="s">
        <v>86</v>
      </c>
      <c r="AE3" s="7" t="s">
        <v>87</v>
      </c>
      <c r="AG3" s="4" t="s">
        <v>18</v>
      </c>
      <c r="AH3" s="4" t="s">
        <v>37</v>
      </c>
      <c r="AI3" s="4" t="s">
        <v>38</v>
      </c>
      <c r="AJ3" s="4" t="s">
        <v>39</v>
      </c>
      <c r="AK3" s="4" t="s">
        <v>40</v>
      </c>
      <c r="AL3" s="4" t="s">
        <v>41</v>
      </c>
      <c r="AM3" s="4" t="s">
        <v>42</v>
      </c>
      <c r="AN3" s="4" t="s">
        <v>43</v>
      </c>
      <c r="AO3" s="4" t="s">
        <v>44</v>
      </c>
      <c r="AP3" s="4" t="s">
        <v>45</v>
      </c>
      <c r="AQ3" s="4" t="s">
        <v>46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51</v>
      </c>
      <c r="AW3" s="4" t="s">
        <v>52</v>
      </c>
      <c r="AX3" s="5" t="s">
        <v>53</v>
      </c>
      <c r="AY3" s="5" t="s">
        <v>54</v>
      </c>
      <c r="AZ3" s="5" t="s">
        <v>55</v>
      </c>
      <c r="BA3" s="5" t="s">
        <v>56</v>
      </c>
      <c r="BB3" s="4" t="s">
        <v>57</v>
      </c>
      <c r="BC3" s="4" t="s">
        <v>58</v>
      </c>
      <c r="BD3" s="4" t="s">
        <v>59</v>
      </c>
      <c r="BE3" s="4" t="s">
        <v>60</v>
      </c>
      <c r="BF3" s="4" t="s">
        <v>61</v>
      </c>
      <c r="BG3" s="4" t="s">
        <v>62</v>
      </c>
      <c r="BH3" s="4" t="s">
        <v>63</v>
      </c>
      <c r="BI3" s="28" t="s">
        <v>64</v>
      </c>
      <c r="BJ3" s="29" t="s">
        <v>37</v>
      </c>
      <c r="BK3" s="4" t="s">
        <v>80</v>
      </c>
      <c r="BL3" s="4" t="s">
        <v>79</v>
      </c>
      <c r="BM3" s="68" t="s">
        <v>39</v>
      </c>
      <c r="BN3" s="68" t="s">
        <v>85</v>
      </c>
      <c r="BO3" s="68" t="s">
        <v>41</v>
      </c>
      <c r="BP3" s="4" t="s">
        <v>42</v>
      </c>
      <c r="BQ3" s="4" t="s">
        <v>81</v>
      </c>
      <c r="BR3" s="68" t="s">
        <v>82</v>
      </c>
      <c r="BS3" s="68" t="s">
        <v>44</v>
      </c>
      <c r="BT3" s="68" t="s">
        <v>45</v>
      </c>
      <c r="BU3" s="4" t="s">
        <v>46</v>
      </c>
      <c r="BV3" s="4" t="s">
        <v>71</v>
      </c>
      <c r="BW3" s="62" t="s">
        <v>72</v>
      </c>
      <c r="BX3" s="63" t="s">
        <v>73</v>
      </c>
      <c r="BY3" s="62" t="s">
        <v>74</v>
      </c>
    </row>
    <row r="4" spans="1:77" ht="14.45" customHeight="1" x14ac:dyDescent="0.25">
      <c r="A4" s="11">
        <v>0</v>
      </c>
      <c r="B4" s="11" t="s">
        <v>66</v>
      </c>
      <c r="C4" s="64">
        <v>0</v>
      </c>
      <c r="D4" s="64">
        <v>0</v>
      </c>
      <c r="E4" s="64">
        <v>5</v>
      </c>
      <c r="F4" s="64">
        <v>25</v>
      </c>
      <c r="G4" s="65">
        <v>15</v>
      </c>
      <c r="H4" s="65">
        <v>15</v>
      </c>
      <c r="I4" s="64">
        <v>240</v>
      </c>
      <c r="J4" s="64">
        <v>12</v>
      </c>
      <c r="K4" s="64">
        <v>-4</v>
      </c>
      <c r="L4" s="65">
        <v>24</v>
      </c>
      <c r="M4" s="15">
        <v>300</v>
      </c>
      <c r="N4" s="15">
        <v>300</v>
      </c>
      <c r="O4" s="15">
        <v>1</v>
      </c>
      <c r="P4" s="15">
        <v>1</v>
      </c>
      <c r="Q4" s="15">
        <v>0</v>
      </c>
      <c r="R4" s="15">
        <v>0</v>
      </c>
      <c r="S4" s="15"/>
      <c r="T4" s="15"/>
      <c r="U4" s="15"/>
      <c r="V4" s="15"/>
      <c r="W4" s="15"/>
      <c r="X4" s="15">
        <v>1</v>
      </c>
      <c r="Y4" s="15">
        <v>1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G4" s="20">
        <v>0</v>
      </c>
      <c r="AH4" s="12">
        <v>-123537.27442499416</v>
      </c>
      <c r="AI4" s="16">
        <v>-34.315909562498376</v>
      </c>
      <c r="AJ4" s="14">
        <v>2.2338382225512534</v>
      </c>
      <c r="AK4" s="14">
        <v>2.2338382225512534</v>
      </c>
      <c r="AL4" s="14">
        <v>20.361859787369195</v>
      </c>
      <c r="AM4" s="12">
        <v>-123537.29736405262</v>
      </c>
      <c r="AN4" s="14">
        <v>-34.315915934459063</v>
      </c>
      <c r="AO4" s="14">
        <v>2.2338383227316276</v>
      </c>
      <c r="AP4" s="14">
        <v>2.2338383227316276</v>
      </c>
      <c r="AQ4" s="14">
        <v>9.6381380490884503</v>
      </c>
      <c r="AR4" s="12">
        <v>3600</v>
      </c>
      <c r="AS4" s="12">
        <v>1200</v>
      </c>
      <c r="AT4" s="12">
        <v>1200</v>
      </c>
      <c r="AU4" s="12">
        <v>1200</v>
      </c>
      <c r="AV4" s="16">
        <v>1.0148945288043423</v>
      </c>
      <c r="AW4" s="16">
        <v>-0.53618613669497994</v>
      </c>
      <c r="AX4" s="14">
        <v>20.361859787369191</v>
      </c>
      <c r="AY4" s="14">
        <v>9.6381380490884485</v>
      </c>
      <c r="AZ4" s="14">
        <v>9.6381380490884485</v>
      </c>
      <c r="BA4" s="14">
        <v>20.361861778606904</v>
      </c>
      <c r="BB4" s="12">
        <v>0</v>
      </c>
      <c r="BC4" s="12">
        <v>-123537.27442499416</v>
      </c>
      <c r="BD4" s="12">
        <v>0</v>
      </c>
      <c r="BE4" s="12">
        <v>-123537.27442499416</v>
      </c>
      <c r="BF4" s="12">
        <v>0</v>
      </c>
      <c r="BG4" s="12">
        <v>0</v>
      </c>
      <c r="BH4" s="12">
        <v>-123537.29736405262</v>
      </c>
      <c r="BI4" s="12">
        <v>-123537.29736405262</v>
      </c>
      <c r="BJ4" s="56"/>
      <c r="BK4" s="57"/>
      <c r="BL4" s="57"/>
      <c r="BM4" s="57"/>
      <c r="BN4" s="57"/>
    </row>
    <row r="5" spans="1:77" ht="14.45" customHeight="1" x14ac:dyDescent="0.25">
      <c r="A5" s="11">
        <f t="shared" ref="A5:A40" si="0">A4+1</f>
        <v>1</v>
      </c>
      <c r="B5" s="11" t="s">
        <v>66</v>
      </c>
      <c r="C5" s="17">
        <v>4</v>
      </c>
      <c r="D5" s="17">
        <v>4</v>
      </c>
      <c r="E5" s="15">
        <v>5</v>
      </c>
      <c r="F5" s="15">
        <v>25</v>
      </c>
      <c r="G5" s="15">
        <f t="shared" ref="G5:H36" si="1">G4</f>
        <v>15</v>
      </c>
      <c r="H5" s="15">
        <f t="shared" si="1"/>
        <v>15</v>
      </c>
      <c r="I5" s="15">
        <v>240</v>
      </c>
      <c r="J5" s="15">
        <v>12</v>
      </c>
      <c r="K5" s="15">
        <v>-4</v>
      </c>
      <c r="L5" s="15">
        <f t="shared" ref="L5:L11" si="2">L4</f>
        <v>24</v>
      </c>
      <c r="M5" s="15">
        <v>300</v>
      </c>
      <c r="N5" s="15">
        <v>300</v>
      </c>
      <c r="O5" s="15">
        <v>1</v>
      </c>
      <c r="P5" s="15">
        <v>1</v>
      </c>
      <c r="Q5" s="15">
        <v>0</v>
      </c>
      <c r="R5" s="15">
        <v>0</v>
      </c>
      <c r="S5" s="15"/>
      <c r="T5" s="15"/>
      <c r="U5" s="15"/>
      <c r="V5" s="15"/>
      <c r="W5" s="15"/>
      <c r="X5" s="15">
        <v>1</v>
      </c>
      <c r="Y5" s="15">
        <v>1</v>
      </c>
      <c r="Z5" s="15">
        <v>0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G5" s="20">
        <v>1</v>
      </c>
      <c r="AH5" s="12">
        <v>-350445.09180948412</v>
      </c>
      <c r="AI5" s="16">
        <v>-97.345858835967817</v>
      </c>
      <c r="AJ5" s="14">
        <v>5.5293984264357849</v>
      </c>
      <c r="AK5" s="14">
        <v>5.5293984264357849</v>
      </c>
      <c r="AL5" s="14">
        <v>22.605144597749003</v>
      </c>
      <c r="AM5" s="12">
        <v>-350445.12140817347</v>
      </c>
      <c r="AN5" s="14">
        <v>-97.345867057825956</v>
      </c>
      <c r="AO5" s="14">
        <v>5.5293985015989922</v>
      </c>
      <c r="AP5" s="14">
        <v>5.5293985015989922</v>
      </c>
      <c r="AQ5" s="14">
        <v>7.3948541546290301</v>
      </c>
      <c r="AR5" s="12">
        <v>3600</v>
      </c>
      <c r="AS5" s="12">
        <v>1200</v>
      </c>
      <c r="AT5" s="12">
        <v>1200</v>
      </c>
      <c r="AU5" s="12">
        <v>1200</v>
      </c>
      <c r="AV5" s="16">
        <v>0.7176388035066763</v>
      </c>
      <c r="AW5" s="16">
        <v>-0.76051455427263182</v>
      </c>
      <c r="AX5" s="14">
        <v>22.605144597749003</v>
      </c>
      <c r="AY5" s="14">
        <v>7.3948541546290318</v>
      </c>
      <c r="AZ5" s="14">
        <v>7.3948541546290318</v>
      </c>
      <c r="BA5" s="14">
        <v>22.605145882414337</v>
      </c>
      <c r="BB5" s="12">
        <v>0</v>
      </c>
      <c r="BC5" s="12">
        <v>-350445.09180948412</v>
      </c>
      <c r="BD5" s="12">
        <v>0</v>
      </c>
      <c r="BE5" s="12">
        <v>-350445.09180948412</v>
      </c>
      <c r="BF5" s="12">
        <v>0</v>
      </c>
      <c r="BG5" s="12">
        <v>0</v>
      </c>
      <c r="BH5" s="12">
        <v>-350445.12140817347</v>
      </c>
      <c r="BI5" s="12">
        <v>-350445.12140817347</v>
      </c>
      <c r="BJ5" s="56"/>
      <c r="BK5" s="57"/>
      <c r="BL5" s="57"/>
      <c r="BM5" s="57"/>
      <c r="BN5" s="57"/>
    </row>
    <row r="6" spans="1:77" ht="14.45" customHeight="1" x14ac:dyDescent="0.25">
      <c r="A6" s="11">
        <f t="shared" si="0"/>
        <v>2</v>
      </c>
      <c r="B6" s="11" t="s">
        <v>66</v>
      </c>
      <c r="C6" s="15">
        <v>0</v>
      </c>
      <c r="D6" s="15">
        <v>0</v>
      </c>
      <c r="E6" s="15">
        <v>5</v>
      </c>
      <c r="F6" s="15">
        <v>25</v>
      </c>
      <c r="G6" s="15">
        <f t="shared" si="1"/>
        <v>15</v>
      </c>
      <c r="H6" s="15">
        <f t="shared" si="1"/>
        <v>15</v>
      </c>
      <c r="I6" s="15">
        <v>240</v>
      </c>
      <c r="J6" s="15">
        <v>12</v>
      </c>
      <c r="K6" s="17">
        <v>-8</v>
      </c>
      <c r="L6" s="15">
        <f t="shared" si="2"/>
        <v>24</v>
      </c>
      <c r="M6" s="15">
        <v>300</v>
      </c>
      <c r="N6" s="15">
        <v>300</v>
      </c>
      <c r="O6" s="15">
        <v>1</v>
      </c>
      <c r="P6" s="15">
        <v>1</v>
      </c>
      <c r="Q6" s="15">
        <v>0</v>
      </c>
      <c r="R6" s="15">
        <v>0</v>
      </c>
      <c r="S6" s="15"/>
      <c r="T6" s="15"/>
      <c r="U6" s="15"/>
      <c r="V6" s="15"/>
      <c r="W6" s="15"/>
      <c r="X6" s="15">
        <v>1</v>
      </c>
      <c r="Y6" s="15">
        <v>1</v>
      </c>
      <c r="Z6" s="15">
        <v>0</v>
      </c>
      <c r="AA6" s="15">
        <v>0</v>
      </c>
      <c r="AB6" s="15">
        <v>0</v>
      </c>
      <c r="AC6" s="15">
        <v>0</v>
      </c>
      <c r="AD6" s="15">
        <v>0</v>
      </c>
      <c r="AE6" s="15">
        <v>0</v>
      </c>
      <c r="AG6" s="20">
        <v>2</v>
      </c>
      <c r="AH6" s="12">
        <v>-350445.09180948412</v>
      </c>
      <c r="AI6" s="16">
        <v>-97.345858835967817</v>
      </c>
      <c r="AJ6" s="14">
        <v>5.5293984264357849</v>
      </c>
      <c r="AK6" s="14">
        <v>5.5293984264357849</v>
      </c>
      <c r="AL6" s="14">
        <v>22.605144597749003</v>
      </c>
      <c r="AM6" s="12">
        <v>-350445.12140817347</v>
      </c>
      <c r="AN6" s="14">
        <v>-97.345867057825956</v>
      </c>
      <c r="AO6" s="14">
        <v>5.5293985015989922</v>
      </c>
      <c r="AP6" s="14">
        <v>5.5293985015989922</v>
      </c>
      <c r="AQ6" s="14">
        <v>7.3948541546290301</v>
      </c>
      <c r="AR6" s="12">
        <v>3600</v>
      </c>
      <c r="AS6" s="12">
        <v>1200</v>
      </c>
      <c r="AT6" s="12">
        <v>1200</v>
      </c>
      <c r="AU6" s="12">
        <v>1200</v>
      </c>
      <c r="AV6" s="16">
        <v>0.7176388035066763</v>
      </c>
      <c r="AW6" s="16">
        <v>-0.76051455427263182</v>
      </c>
      <c r="AX6" s="14">
        <v>22.605144597749003</v>
      </c>
      <c r="AY6" s="14">
        <v>7.3948541546290318</v>
      </c>
      <c r="AZ6" s="14">
        <v>7.3948541546290318</v>
      </c>
      <c r="BA6" s="14">
        <v>22.605145882414337</v>
      </c>
      <c r="BB6" s="12">
        <v>0</v>
      </c>
      <c r="BC6" s="12">
        <v>-350445.09180948412</v>
      </c>
      <c r="BD6" s="12">
        <v>0</v>
      </c>
      <c r="BE6" s="12">
        <v>-350445.09180948412</v>
      </c>
      <c r="BF6" s="12">
        <v>0</v>
      </c>
      <c r="BG6" s="12">
        <v>0</v>
      </c>
      <c r="BH6" s="12">
        <v>-350445.12140817347</v>
      </c>
      <c r="BI6" s="12">
        <v>-350445.12140817347</v>
      </c>
      <c r="BJ6" s="56"/>
      <c r="BK6" s="57"/>
      <c r="BL6" s="57"/>
      <c r="BM6" s="57"/>
      <c r="BN6" s="57"/>
    </row>
    <row r="7" spans="1:77" ht="14.45" customHeight="1" x14ac:dyDescent="0.25">
      <c r="A7" s="11">
        <f t="shared" si="0"/>
        <v>3</v>
      </c>
      <c r="B7" s="11" t="s">
        <v>66</v>
      </c>
      <c r="C7" s="15">
        <v>0</v>
      </c>
      <c r="D7" s="15">
        <v>0</v>
      </c>
      <c r="E7" s="15">
        <v>5</v>
      </c>
      <c r="F7" s="15">
        <v>25</v>
      </c>
      <c r="G7" s="15">
        <f t="shared" si="1"/>
        <v>15</v>
      </c>
      <c r="H7" s="15">
        <f t="shared" si="1"/>
        <v>15</v>
      </c>
      <c r="I7" s="15">
        <v>240</v>
      </c>
      <c r="J7" s="15">
        <v>12</v>
      </c>
      <c r="K7" s="17">
        <v>-2</v>
      </c>
      <c r="L7" s="15">
        <f t="shared" si="2"/>
        <v>24</v>
      </c>
      <c r="M7" s="15">
        <v>300</v>
      </c>
      <c r="N7" s="15">
        <v>300</v>
      </c>
      <c r="O7" s="15">
        <v>1</v>
      </c>
      <c r="P7" s="15">
        <v>1</v>
      </c>
      <c r="Q7" s="15">
        <v>0</v>
      </c>
      <c r="R7" s="15">
        <v>0</v>
      </c>
      <c r="S7" s="15"/>
      <c r="T7" s="15"/>
      <c r="U7" s="15"/>
      <c r="V7" s="15"/>
      <c r="W7" s="15"/>
      <c r="X7" s="15">
        <v>1</v>
      </c>
      <c r="Y7" s="15">
        <v>1</v>
      </c>
      <c r="Z7" s="15">
        <v>0</v>
      </c>
      <c r="AA7" s="15">
        <v>0</v>
      </c>
      <c r="AB7" s="15">
        <v>0</v>
      </c>
      <c r="AC7" s="15">
        <v>0</v>
      </c>
      <c r="AD7" s="15">
        <v>0</v>
      </c>
      <c r="AE7" s="15">
        <v>0</v>
      </c>
      <c r="AG7" s="20">
        <v>3</v>
      </c>
      <c r="AH7" s="12">
        <v>-40097.454741826841</v>
      </c>
      <c r="AI7" s="16">
        <v>-11.138181872729678</v>
      </c>
      <c r="AJ7" s="14">
        <v>0.82623757492831407</v>
      </c>
      <c r="AK7" s="14">
        <v>0.82623757492831407</v>
      </c>
      <c r="AL7" s="14">
        <v>18.480604381489243</v>
      </c>
      <c r="AM7" s="12">
        <v>-40098.102501611742</v>
      </c>
      <c r="AN7" s="14">
        <v>-11.138361806003262</v>
      </c>
      <c r="AO7" s="14">
        <v>0.82624142804176814</v>
      </c>
      <c r="AP7" s="14">
        <v>0.82624142804176814</v>
      </c>
      <c r="AQ7" s="14">
        <v>11.519240711033197</v>
      </c>
      <c r="AR7" s="12">
        <v>3600</v>
      </c>
      <c r="AS7" s="12">
        <v>1200</v>
      </c>
      <c r="AT7" s="12">
        <v>1200</v>
      </c>
      <c r="AU7" s="12">
        <v>1200</v>
      </c>
      <c r="AV7" s="16">
        <v>1.4352776070133526</v>
      </c>
      <c r="AW7" s="16">
        <v>-0.34807099498020216</v>
      </c>
      <c r="AX7" s="14">
        <v>18.480604381489243</v>
      </c>
      <c r="AY7" s="14">
        <v>11.519240711033197</v>
      </c>
      <c r="AZ7" s="14">
        <v>11.519240711033197</v>
      </c>
      <c r="BA7" s="14">
        <v>18.480716839785238</v>
      </c>
      <c r="BB7" s="12">
        <v>0</v>
      </c>
      <c r="BC7" s="12">
        <v>-40097.454741826841</v>
      </c>
      <c r="BD7" s="12">
        <v>0</v>
      </c>
      <c r="BE7" s="12">
        <v>-40097.454741826841</v>
      </c>
      <c r="BF7" s="12">
        <v>0</v>
      </c>
      <c r="BG7" s="12">
        <v>0</v>
      </c>
      <c r="BH7" s="12">
        <v>-40098.102501611742</v>
      </c>
      <c r="BI7" s="12">
        <v>-40098.102501611742</v>
      </c>
      <c r="BJ7" s="56"/>
      <c r="BK7" s="57"/>
      <c r="BL7" s="57"/>
      <c r="BM7" s="57"/>
      <c r="BN7" s="57"/>
    </row>
    <row r="8" spans="1:77" ht="14.45" customHeight="1" x14ac:dyDescent="0.25">
      <c r="A8" s="11">
        <f t="shared" si="0"/>
        <v>4</v>
      </c>
      <c r="B8" s="11" t="s">
        <v>66</v>
      </c>
      <c r="C8" s="15">
        <v>0</v>
      </c>
      <c r="D8" s="15">
        <v>0</v>
      </c>
      <c r="E8" s="17">
        <v>10</v>
      </c>
      <c r="F8" s="17">
        <v>20</v>
      </c>
      <c r="G8" s="15">
        <f t="shared" si="1"/>
        <v>15</v>
      </c>
      <c r="H8" s="15">
        <f t="shared" si="1"/>
        <v>15</v>
      </c>
      <c r="I8" s="15">
        <v>240</v>
      </c>
      <c r="J8" s="15">
        <v>12</v>
      </c>
      <c r="K8" s="15">
        <v>-4</v>
      </c>
      <c r="L8" s="15">
        <f t="shared" si="2"/>
        <v>24</v>
      </c>
      <c r="M8" s="15">
        <v>300</v>
      </c>
      <c r="N8" s="15">
        <v>300</v>
      </c>
      <c r="O8" s="15">
        <v>1</v>
      </c>
      <c r="P8" s="15">
        <v>1</v>
      </c>
      <c r="Q8" s="15">
        <v>0</v>
      </c>
      <c r="R8" s="15">
        <v>0</v>
      </c>
      <c r="S8" s="15"/>
      <c r="T8" s="15"/>
      <c r="U8" s="15"/>
      <c r="V8" s="15"/>
      <c r="W8" s="15"/>
      <c r="X8" s="15">
        <v>1</v>
      </c>
      <c r="Y8" s="15">
        <v>1</v>
      </c>
      <c r="Z8" s="15">
        <v>0</v>
      </c>
      <c r="AA8" s="15">
        <v>0</v>
      </c>
      <c r="AB8" s="15">
        <v>0</v>
      </c>
      <c r="AC8" s="15">
        <v>0</v>
      </c>
      <c r="AD8" s="15">
        <v>0</v>
      </c>
      <c r="AE8" s="15">
        <v>0</v>
      </c>
      <c r="AG8" s="20">
        <v>4</v>
      </c>
      <c r="AH8" s="12">
        <v>-40096.447678827208</v>
      </c>
      <c r="AI8" s="16">
        <v>-11.137902133007557</v>
      </c>
      <c r="AJ8" s="14">
        <v>1.6524443660500869</v>
      </c>
      <c r="AK8" s="14">
        <v>1.6524443660500869</v>
      </c>
      <c r="AL8" s="14">
        <v>16.74025846911324</v>
      </c>
      <c r="AM8" s="12">
        <v>-40097.095633947931</v>
      </c>
      <c r="AN8" s="14">
        <v>-11.138082120541092</v>
      </c>
      <c r="AO8" s="14">
        <v>1.6524520746999509</v>
      </c>
      <c r="AP8" s="14">
        <v>1.6524520746999509</v>
      </c>
      <c r="AQ8" s="14">
        <v>13.259664052548377</v>
      </c>
      <c r="AR8" s="12">
        <v>3600</v>
      </c>
      <c r="AS8" s="12">
        <v>1200</v>
      </c>
      <c r="AT8" s="12">
        <v>1200</v>
      </c>
      <c r="AU8" s="12">
        <v>1200</v>
      </c>
      <c r="AV8" s="16">
        <v>1.4353058942143302</v>
      </c>
      <c r="AW8" s="16">
        <v>-0.34806225396169765</v>
      </c>
      <c r="AX8" s="14">
        <v>16.74025846911324</v>
      </c>
      <c r="AY8" s="14">
        <v>13.259664052548375</v>
      </c>
      <c r="AZ8" s="14">
        <v>13.259664052548375</v>
      </c>
      <c r="BA8" s="14">
        <v>16.740314715217469</v>
      </c>
      <c r="BB8" s="12">
        <v>0</v>
      </c>
      <c r="BC8" s="12">
        <v>-40096.447678827208</v>
      </c>
      <c r="BD8" s="12">
        <v>0</v>
      </c>
      <c r="BE8" s="12">
        <v>-40096.447678827208</v>
      </c>
      <c r="BF8" s="12">
        <v>0</v>
      </c>
      <c r="BG8" s="12">
        <v>0</v>
      </c>
      <c r="BH8" s="12">
        <v>-40097.095633947931</v>
      </c>
      <c r="BI8" s="12">
        <v>-40097.095633947931</v>
      </c>
      <c r="BJ8" s="56"/>
      <c r="BK8" s="57"/>
      <c r="BL8" s="57"/>
      <c r="BM8" s="57"/>
      <c r="BN8" s="57"/>
    </row>
    <row r="9" spans="1:77" ht="14.45" customHeight="1" x14ac:dyDescent="0.25">
      <c r="A9" s="11">
        <f t="shared" si="0"/>
        <v>5</v>
      </c>
      <c r="B9" s="11" t="s">
        <v>66</v>
      </c>
      <c r="C9" s="15">
        <v>0</v>
      </c>
      <c r="D9" s="15">
        <v>0</v>
      </c>
      <c r="E9" s="17">
        <v>0</v>
      </c>
      <c r="F9" s="17">
        <v>30</v>
      </c>
      <c r="G9" s="15">
        <f t="shared" si="1"/>
        <v>15</v>
      </c>
      <c r="H9" s="15">
        <f t="shared" si="1"/>
        <v>15</v>
      </c>
      <c r="I9" s="15">
        <v>240</v>
      </c>
      <c r="J9" s="15">
        <v>12</v>
      </c>
      <c r="K9" s="15">
        <v>-4</v>
      </c>
      <c r="L9" s="15">
        <f t="shared" si="2"/>
        <v>24</v>
      </c>
      <c r="M9" s="15">
        <v>300</v>
      </c>
      <c r="N9" s="15">
        <v>300</v>
      </c>
      <c r="O9" s="15">
        <v>1</v>
      </c>
      <c r="P9" s="15">
        <v>1</v>
      </c>
      <c r="Q9" s="15">
        <v>0</v>
      </c>
      <c r="R9" s="15">
        <v>0</v>
      </c>
      <c r="S9" s="15"/>
      <c r="T9" s="15"/>
      <c r="U9" s="15"/>
      <c r="V9" s="15"/>
      <c r="W9" s="15"/>
      <c r="X9" s="15">
        <v>1</v>
      </c>
      <c r="Y9" s="15">
        <v>1</v>
      </c>
      <c r="Z9" s="15">
        <v>0</v>
      </c>
      <c r="AA9" s="15">
        <v>0</v>
      </c>
      <c r="AB9" s="15">
        <v>0</v>
      </c>
      <c r="AC9" s="15">
        <v>0</v>
      </c>
      <c r="AD9" s="15">
        <v>0</v>
      </c>
      <c r="AE9" s="15">
        <v>0</v>
      </c>
      <c r="AG9" s="20">
        <v>5</v>
      </c>
      <c r="AH9" s="12">
        <v>-231240.96682362951</v>
      </c>
      <c r="AI9" s="16">
        <v>-64.233601895452637</v>
      </c>
      <c r="AJ9" s="14">
        <v>2.5655944785706675</v>
      </c>
      <c r="AK9" s="14">
        <v>2.5655944785706675</v>
      </c>
      <c r="AL9" s="14">
        <v>25.036537314049014</v>
      </c>
      <c r="AM9" s="12">
        <v>-231240.11447038624</v>
      </c>
      <c r="AN9" s="14">
        <v>-64.233365130662847</v>
      </c>
      <c r="AO9" s="14">
        <v>2.565592608536992</v>
      </c>
      <c r="AP9" s="14">
        <v>2.565592608536992</v>
      </c>
      <c r="AQ9" s="14">
        <v>4.9635367217200637</v>
      </c>
      <c r="AR9" s="12">
        <v>3600</v>
      </c>
      <c r="AS9" s="12">
        <v>1200</v>
      </c>
      <c r="AT9" s="12">
        <v>1200</v>
      </c>
      <c r="AU9" s="12">
        <v>1200</v>
      </c>
      <c r="AV9" s="16">
        <v>0.82862780302907391</v>
      </c>
      <c r="AW9" s="16">
        <v>-0.66909878659435151</v>
      </c>
      <c r="AX9" s="14">
        <v>25.036537314049014</v>
      </c>
      <c r="AY9" s="14">
        <v>4.9635367217200637</v>
      </c>
      <c r="AZ9" s="14">
        <v>4.9635367217200637</v>
      </c>
      <c r="BA9" s="14">
        <v>25.036463325052203</v>
      </c>
      <c r="BB9" s="12">
        <v>0</v>
      </c>
      <c r="BC9" s="12">
        <v>-231240.96682362951</v>
      </c>
      <c r="BD9" s="12">
        <v>0</v>
      </c>
      <c r="BE9" s="12">
        <v>-231240.96682362951</v>
      </c>
      <c r="BF9" s="12">
        <v>0</v>
      </c>
      <c r="BG9" s="12">
        <v>0</v>
      </c>
      <c r="BH9" s="12">
        <v>-231240.11447038624</v>
      </c>
      <c r="BI9" s="12">
        <v>-231240.11447038624</v>
      </c>
      <c r="BJ9" s="56"/>
      <c r="BK9" s="57"/>
      <c r="BL9" s="57"/>
      <c r="BM9" s="57"/>
      <c r="BN9" s="57"/>
    </row>
    <row r="10" spans="1:77" ht="14.45" customHeight="1" x14ac:dyDescent="0.25">
      <c r="A10" s="11">
        <f t="shared" si="0"/>
        <v>6</v>
      </c>
      <c r="B10" s="11" t="s">
        <v>66</v>
      </c>
      <c r="C10" s="15">
        <v>0</v>
      </c>
      <c r="D10" s="15">
        <v>0</v>
      </c>
      <c r="E10" s="15">
        <v>5</v>
      </c>
      <c r="F10" s="15">
        <v>25</v>
      </c>
      <c r="G10" s="15">
        <f t="shared" si="1"/>
        <v>15</v>
      </c>
      <c r="H10" s="15">
        <f t="shared" si="1"/>
        <v>15</v>
      </c>
      <c r="I10" s="17">
        <v>480</v>
      </c>
      <c r="J10" s="15">
        <v>12</v>
      </c>
      <c r="K10" s="15">
        <v>-4</v>
      </c>
      <c r="L10" s="15">
        <f t="shared" si="2"/>
        <v>24</v>
      </c>
      <c r="M10" s="15">
        <v>300</v>
      </c>
      <c r="N10" s="15">
        <v>300</v>
      </c>
      <c r="O10" s="15">
        <v>1</v>
      </c>
      <c r="P10" s="15">
        <v>1</v>
      </c>
      <c r="Q10" s="15">
        <v>0</v>
      </c>
      <c r="R10" s="15">
        <v>0</v>
      </c>
      <c r="S10" s="15"/>
      <c r="T10" s="15"/>
      <c r="U10" s="15"/>
      <c r="V10" s="15"/>
      <c r="W10" s="15"/>
      <c r="X10" s="15">
        <v>1</v>
      </c>
      <c r="Y10" s="15">
        <v>1</v>
      </c>
      <c r="Z10" s="15">
        <v>0</v>
      </c>
      <c r="AA10" s="15">
        <v>0</v>
      </c>
      <c r="AB10" s="15">
        <v>0</v>
      </c>
      <c r="AC10" s="15">
        <v>0</v>
      </c>
      <c r="AD10" s="15">
        <v>0</v>
      </c>
      <c r="AE10" s="15">
        <v>0</v>
      </c>
      <c r="AG10" s="20">
        <v>6</v>
      </c>
      <c r="AH10" s="12">
        <v>-103701.17144554546</v>
      </c>
      <c r="AI10" s="16">
        <v>-28.805880957095962</v>
      </c>
      <c r="AJ10" s="14">
        <v>2.3514198230647509</v>
      </c>
      <c r="AK10" s="14">
        <v>2.3514198230647509</v>
      </c>
      <c r="AL10" s="14">
        <v>17.250420224641754</v>
      </c>
      <c r="AM10" s="12">
        <v>-103702.13591929697</v>
      </c>
      <c r="AN10" s="14">
        <v>-28.806148866471379</v>
      </c>
      <c r="AO10" s="14">
        <v>2.3514266342056449</v>
      </c>
      <c r="AP10" s="14">
        <v>2.3514266342056449</v>
      </c>
      <c r="AQ10" s="14">
        <v>12.74950132509551</v>
      </c>
      <c r="AR10" s="12">
        <v>3600</v>
      </c>
      <c r="AS10" s="12">
        <v>1200</v>
      </c>
      <c r="AT10" s="12">
        <v>1200</v>
      </c>
      <c r="AU10" s="12">
        <v>1200</v>
      </c>
      <c r="AV10" s="16">
        <v>2.0297890576086846</v>
      </c>
      <c r="AW10" s="16">
        <v>-0.22504699149830995</v>
      </c>
      <c r="AX10" s="14">
        <v>17.250420224641754</v>
      </c>
      <c r="AY10" s="14">
        <v>12.74950132509551</v>
      </c>
      <c r="AZ10" s="14">
        <v>12.74950132509551</v>
      </c>
      <c r="BA10" s="14">
        <v>17.250462085481665</v>
      </c>
      <c r="BB10" s="12">
        <v>0</v>
      </c>
      <c r="BC10" s="12">
        <v>-103701.17144554546</v>
      </c>
      <c r="BD10" s="12">
        <v>0</v>
      </c>
      <c r="BE10" s="12">
        <v>-103701.17144554546</v>
      </c>
      <c r="BF10" s="12">
        <v>0</v>
      </c>
      <c r="BG10" s="12">
        <v>0</v>
      </c>
      <c r="BH10" s="12">
        <v>-103702.13591929697</v>
      </c>
      <c r="BI10" s="12">
        <v>-103702.13591929697</v>
      </c>
      <c r="BJ10" s="56"/>
      <c r="BK10" s="57"/>
      <c r="BL10" s="57"/>
      <c r="BM10" s="57"/>
      <c r="BN10" s="57"/>
    </row>
    <row r="11" spans="1:77" ht="14.45" customHeight="1" x14ac:dyDescent="0.25">
      <c r="A11" s="11">
        <f t="shared" si="0"/>
        <v>7</v>
      </c>
      <c r="B11" s="11" t="s">
        <v>66</v>
      </c>
      <c r="C11" s="15">
        <v>0</v>
      </c>
      <c r="D11" s="15">
        <v>0</v>
      </c>
      <c r="E11" s="15">
        <v>5</v>
      </c>
      <c r="F11" s="15">
        <v>25</v>
      </c>
      <c r="G11" s="15">
        <f t="shared" si="1"/>
        <v>15</v>
      </c>
      <c r="H11" s="15">
        <f t="shared" si="1"/>
        <v>15</v>
      </c>
      <c r="I11" s="15">
        <v>240</v>
      </c>
      <c r="J11" s="17">
        <v>24</v>
      </c>
      <c r="K11" s="15">
        <v>-4</v>
      </c>
      <c r="L11" s="15">
        <f t="shared" si="2"/>
        <v>24</v>
      </c>
      <c r="M11" s="15">
        <v>300</v>
      </c>
      <c r="N11" s="15">
        <v>300</v>
      </c>
      <c r="O11" s="15">
        <v>1</v>
      </c>
      <c r="P11" s="15">
        <v>1</v>
      </c>
      <c r="Q11" s="15">
        <v>0</v>
      </c>
      <c r="R11" s="15">
        <v>0</v>
      </c>
      <c r="S11" s="15"/>
      <c r="T11" s="15"/>
      <c r="U11" s="15"/>
      <c r="V11" s="15"/>
      <c r="W11" s="15"/>
      <c r="X11" s="15">
        <v>1</v>
      </c>
      <c r="Y11" s="15">
        <v>1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  <c r="AG11" s="20">
        <v>7</v>
      </c>
      <c r="AH11" s="12">
        <v>-247074.54884998832</v>
      </c>
      <c r="AI11" s="16">
        <v>-68.631819124996753</v>
      </c>
      <c r="AJ11" s="14">
        <v>4.4676764451025068</v>
      </c>
      <c r="AK11" s="14">
        <v>4.4676764451025068</v>
      </c>
      <c r="AL11" s="14">
        <v>20.361859787369195</v>
      </c>
      <c r="AM11" s="12">
        <v>-247074.59472810524</v>
      </c>
      <c r="AN11" s="14">
        <v>-68.631831868918127</v>
      </c>
      <c r="AO11" s="14">
        <v>4.4676766454632553</v>
      </c>
      <c r="AP11" s="14">
        <v>4.4676766454632553</v>
      </c>
      <c r="AQ11" s="14">
        <v>9.6381380490884503</v>
      </c>
      <c r="AR11" s="12">
        <v>3600</v>
      </c>
      <c r="AS11" s="12">
        <v>1200</v>
      </c>
      <c r="AT11" s="12">
        <v>1200</v>
      </c>
      <c r="AU11" s="12">
        <v>1200</v>
      </c>
      <c r="AV11" s="16">
        <v>1.0148945288043423</v>
      </c>
      <c r="AW11" s="16">
        <v>-0.53618613669497994</v>
      </c>
      <c r="AX11" s="14">
        <v>20.361859787369191</v>
      </c>
      <c r="AY11" s="14">
        <v>9.6381380490884485</v>
      </c>
      <c r="AZ11" s="14">
        <v>9.6381380490884485</v>
      </c>
      <c r="BA11" s="14">
        <v>20.361861778606904</v>
      </c>
      <c r="BB11" s="12">
        <v>0</v>
      </c>
      <c r="BC11" s="12">
        <v>-247074.54884998832</v>
      </c>
      <c r="BD11" s="12">
        <v>0</v>
      </c>
      <c r="BE11" s="12">
        <v>-247074.54884998832</v>
      </c>
      <c r="BF11" s="12">
        <v>0</v>
      </c>
      <c r="BG11" s="12">
        <v>0</v>
      </c>
      <c r="BH11" s="12">
        <v>-247074.59472810524</v>
      </c>
      <c r="BI11" s="12">
        <v>-247074.59472810524</v>
      </c>
      <c r="BJ11" s="56"/>
      <c r="BK11" s="57"/>
      <c r="BL11" s="57"/>
      <c r="BM11" s="57"/>
      <c r="BN11" s="57"/>
    </row>
    <row r="12" spans="1:77" ht="14.45" customHeight="1" x14ac:dyDescent="0.25">
      <c r="A12" s="11">
        <f t="shared" si="0"/>
        <v>8</v>
      </c>
      <c r="B12" s="11" t="s">
        <v>66</v>
      </c>
      <c r="C12" s="15">
        <v>0</v>
      </c>
      <c r="D12" s="15">
        <v>0</v>
      </c>
      <c r="E12" s="15">
        <v>5</v>
      </c>
      <c r="F12" s="15">
        <v>25</v>
      </c>
      <c r="G12" s="15">
        <f t="shared" si="1"/>
        <v>15</v>
      </c>
      <c r="H12" s="15">
        <f t="shared" si="1"/>
        <v>15</v>
      </c>
      <c r="I12" s="15">
        <v>240</v>
      </c>
      <c r="J12" s="15">
        <v>12</v>
      </c>
      <c r="K12" s="15">
        <v>-4</v>
      </c>
      <c r="L12" s="17">
        <v>54</v>
      </c>
      <c r="M12" s="15">
        <v>300</v>
      </c>
      <c r="N12" s="15">
        <v>300</v>
      </c>
      <c r="O12" s="15">
        <v>1</v>
      </c>
      <c r="P12" s="15">
        <v>1</v>
      </c>
      <c r="Q12" s="15">
        <v>0</v>
      </c>
      <c r="R12" s="15">
        <v>0</v>
      </c>
      <c r="S12" s="15"/>
      <c r="T12" s="15"/>
      <c r="U12" s="15"/>
      <c r="V12" s="15"/>
      <c r="W12" s="15"/>
      <c r="X12" s="15">
        <v>1</v>
      </c>
      <c r="Y12" s="15">
        <v>1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  <c r="AG12" s="20">
        <v>8</v>
      </c>
      <c r="AH12" s="12">
        <v>-14648.273150685398</v>
      </c>
      <c r="AI12" s="16">
        <v>-9.1551707191783738</v>
      </c>
      <c r="AJ12" s="14">
        <v>0.86081663463504432</v>
      </c>
      <c r="AK12" s="14">
        <v>0.86081663463504432</v>
      </c>
      <c r="AL12" s="14">
        <v>15.635448190496273</v>
      </c>
      <c r="AM12" s="12">
        <v>-14649.62149341339</v>
      </c>
      <c r="AN12" s="14">
        <v>-9.156013433383368</v>
      </c>
      <c r="AO12" s="14">
        <v>0.86084284597586702</v>
      </c>
      <c r="AP12" s="14">
        <v>0.86084284597586702</v>
      </c>
      <c r="AQ12" s="14">
        <v>14.363896701721501</v>
      </c>
      <c r="AR12" s="12">
        <v>1600</v>
      </c>
      <c r="AS12" s="12">
        <v>200</v>
      </c>
      <c r="AT12" s="12">
        <v>200</v>
      </c>
      <c r="AU12" s="12">
        <v>200</v>
      </c>
      <c r="AV12" s="16">
        <v>6.0893671728260541</v>
      </c>
      <c r="AW12" s="16">
        <v>-6.3580500529728273E-2</v>
      </c>
      <c r="AX12" s="14">
        <v>15.635448190496275</v>
      </c>
      <c r="AY12" s="14">
        <v>14.363896701721501</v>
      </c>
      <c r="AZ12" s="14">
        <v>14.363896701721501</v>
      </c>
      <c r="BA12" s="14">
        <v>15.635565234135857</v>
      </c>
      <c r="BB12" s="12">
        <v>0</v>
      </c>
      <c r="BC12" s="12">
        <v>-14648.273150685398</v>
      </c>
      <c r="BD12" s="12">
        <v>0</v>
      </c>
      <c r="BE12" s="12">
        <v>-14648.273150685398</v>
      </c>
      <c r="BF12" s="12">
        <v>0</v>
      </c>
      <c r="BG12" s="12">
        <v>0</v>
      </c>
      <c r="BH12" s="12">
        <v>-14649.62149341339</v>
      </c>
      <c r="BI12" s="12">
        <v>-14649.62149341339</v>
      </c>
      <c r="BJ12" s="56"/>
      <c r="BK12" s="57"/>
      <c r="BL12" s="57"/>
      <c r="BM12" s="57"/>
      <c r="BN12" s="57"/>
    </row>
    <row r="13" spans="1:77" ht="14.45" customHeight="1" x14ac:dyDescent="0.25">
      <c r="A13" s="11">
        <f t="shared" si="0"/>
        <v>9</v>
      </c>
      <c r="B13" s="11" t="s">
        <v>66</v>
      </c>
      <c r="C13" s="15">
        <v>0</v>
      </c>
      <c r="D13" s="15">
        <v>0</v>
      </c>
      <c r="E13" s="15">
        <v>5</v>
      </c>
      <c r="F13" s="15">
        <v>25</v>
      </c>
      <c r="G13" s="15">
        <f t="shared" si="1"/>
        <v>15</v>
      </c>
      <c r="H13" s="15">
        <f t="shared" si="1"/>
        <v>15</v>
      </c>
      <c r="I13" s="15">
        <v>240</v>
      </c>
      <c r="J13" s="15">
        <v>12</v>
      </c>
      <c r="K13" s="15">
        <v>-4</v>
      </c>
      <c r="L13" s="17">
        <v>43</v>
      </c>
      <c r="M13" s="15">
        <v>300</v>
      </c>
      <c r="N13" s="15">
        <v>300</v>
      </c>
      <c r="O13" s="15">
        <v>1</v>
      </c>
      <c r="P13" s="15">
        <v>1</v>
      </c>
      <c r="Q13" s="15">
        <v>0</v>
      </c>
      <c r="R13" s="15">
        <v>0</v>
      </c>
      <c r="S13" s="15"/>
      <c r="T13" s="15"/>
      <c r="U13" s="15"/>
      <c r="V13" s="15"/>
      <c r="W13" s="15"/>
      <c r="X13" s="15">
        <v>1</v>
      </c>
      <c r="Y13" s="15">
        <v>1</v>
      </c>
      <c r="Z13" s="15">
        <v>0</v>
      </c>
      <c r="AA13" s="15">
        <v>0</v>
      </c>
      <c r="AB13" s="15">
        <v>0</v>
      </c>
      <c r="AC13" s="15">
        <v>0</v>
      </c>
      <c r="AD13" s="15">
        <v>0</v>
      </c>
      <c r="AE13" s="15">
        <v>0</v>
      </c>
      <c r="AG13" s="20">
        <v>9</v>
      </c>
      <c r="AH13" s="12">
        <v>-32314.948419047032</v>
      </c>
      <c r="AI13" s="16">
        <v>-16.08267108818313</v>
      </c>
      <c r="AJ13" s="14">
        <v>1.4104611191095453</v>
      </c>
      <c r="AK13" s="14">
        <v>1.4104611191095453</v>
      </c>
      <c r="AL13" s="14">
        <v>16.402420719215904</v>
      </c>
      <c r="AM13" s="12">
        <v>-32316.102769897239</v>
      </c>
      <c r="AN13" s="14">
        <v>-16.083245591499786</v>
      </c>
      <c r="AO13" s="14">
        <v>1.4104774103039508</v>
      </c>
      <c r="AP13" s="14">
        <v>1.4104774103039508</v>
      </c>
      <c r="AQ13" s="14">
        <v>13.597303668951405</v>
      </c>
      <c r="AR13" s="12">
        <v>2009.3023255813953</v>
      </c>
      <c r="AS13" s="12">
        <v>404.65116279069764</v>
      </c>
      <c r="AT13" s="12">
        <v>404.65116279069764</v>
      </c>
      <c r="AU13" s="12">
        <v>404.65116279069764</v>
      </c>
      <c r="AV13" s="16">
        <v>3.0096872233508085</v>
      </c>
      <c r="AW13" s="16">
        <v>-0.14025835761489641</v>
      </c>
      <c r="AX13" s="14">
        <v>16.402420719215904</v>
      </c>
      <c r="AY13" s="14">
        <v>13.597303668951405</v>
      </c>
      <c r="AZ13" s="14">
        <v>13.597303668951405</v>
      </c>
      <c r="BA13" s="14">
        <v>16.402520923282761</v>
      </c>
      <c r="BB13" s="12">
        <v>0</v>
      </c>
      <c r="BC13" s="12">
        <v>-32314.948419047032</v>
      </c>
      <c r="BD13" s="12">
        <v>0</v>
      </c>
      <c r="BE13" s="12">
        <v>-32314.948419047032</v>
      </c>
      <c r="BF13" s="12">
        <v>0</v>
      </c>
      <c r="BG13" s="12">
        <v>0</v>
      </c>
      <c r="BH13" s="12">
        <v>-32316.102769897239</v>
      </c>
      <c r="BI13" s="12">
        <v>-32316.102769897239</v>
      </c>
      <c r="BJ13" s="56"/>
      <c r="BK13" s="57"/>
      <c r="BL13" s="57"/>
      <c r="BM13" s="57"/>
      <c r="BN13" s="57"/>
    </row>
    <row r="14" spans="1:77" ht="14.45" customHeight="1" x14ac:dyDescent="0.25">
      <c r="A14" s="11">
        <f t="shared" si="0"/>
        <v>10</v>
      </c>
      <c r="B14" s="11" t="s">
        <v>66</v>
      </c>
      <c r="C14" s="15">
        <v>0</v>
      </c>
      <c r="D14" s="15">
        <v>0</v>
      </c>
      <c r="E14" s="15">
        <v>5</v>
      </c>
      <c r="F14" s="15">
        <v>25</v>
      </c>
      <c r="G14" s="15">
        <f t="shared" si="1"/>
        <v>15</v>
      </c>
      <c r="H14" s="15">
        <f t="shared" si="1"/>
        <v>15</v>
      </c>
      <c r="I14" s="15">
        <v>240</v>
      </c>
      <c r="J14" s="15">
        <v>12</v>
      </c>
      <c r="K14" s="15">
        <v>-4</v>
      </c>
      <c r="L14" s="17">
        <v>36</v>
      </c>
      <c r="M14" s="15">
        <v>300</v>
      </c>
      <c r="N14" s="15">
        <v>300</v>
      </c>
      <c r="O14" s="15">
        <v>1</v>
      </c>
      <c r="P14" s="15">
        <v>1</v>
      </c>
      <c r="Q14" s="15">
        <v>0</v>
      </c>
      <c r="R14" s="15">
        <v>0</v>
      </c>
      <c r="S14" s="15"/>
      <c r="T14" s="15"/>
      <c r="U14" s="15"/>
      <c r="V14" s="15"/>
      <c r="W14" s="15"/>
      <c r="X14" s="15">
        <v>1</v>
      </c>
      <c r="Y14" s="15">
        <v>1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  <c r="AG14" s="20">
        <v>10</v>
      </c>
      <c r="AH14" s="12">
        <v>-51850.585722772732</v>
      </c>
      <c r="AI14" s="16">
        <v>-21.604410717821974</v>
      </c>
      <c r="AJ14" s="14">
        <v>1.7635648672985633</v>
      </c>
      <c r="AK14" s="14">
        <v>1.7635648672985633</v>
      </c>
      <c r="AL14" s="14">
        <v>17.250420224641754</v>
      </c>
      <c r="AM14" s="12">
        <v>-51851.067959648484</v>
      </c>
      <c r="AN14" s="14">
        <v>-21.604611649853535</v>
      </c>
      <c r="AO14" s="14">
        <v>1.7635699756542338</v>
      </c>
      <c r="AP14" s="14">
        <v>1.7635699756542338</v>
      </c>
      <c r="AQ14" s="14">
        <v>12.74950132509551</v>
      </c>
      <c r="AR14" s="12">
        <v>2400</v>
      </c>
      <c r="AS14" s="12">
        <v>600</v>
      </c>
      <c r="AT14" s="12">
        <v>600</v>
      </c>
      <c r="AU14" s="12">
        <v>600</v>
      </c>
      <c r="AV14" s="16">
        <v>2.0297890576086846</v>
      </c>
      <c r="AW14" s="16">
        <v>-0.22504699149830995</v>
      </c>
      <c r="AX14" s="14">
        <v>17.250420224641754</v>
      </c>
      <c r="AY14" s="14">
        <v>12.74950132509551</v>
      </c>
      <c r="AZ14" s="14">
        <v>12.74950132509551</v>
      </c>
      <c r="BA14" s="14">
        <v>17.250462085481665</v>
      </c>
      <c r="BB14" s="12">
        <v>0</v>
      </c>
      <c r="BC14" s="12">
        <v>-51850.585722772732</v>
      </c>
      <c r="BD14" s="12">
        <v>0</v>
      </c>
      <c r="BE14" s="12">
        <v>-51850.585722772732</v>
      </c>
      <c r="BF14" s="12">
        <v>0</v>
      </c>
      <c r="BG14" s="12">
        <v>0</v>
      </c>
      <c r="BH14" s="12">
        <v>-51851.067959648484</v>
      </c>
      <c r="BI14" s="12">
        <v>-51851.067959648484</v>
      </c>
      <c r="BJ14" s="56"/>
      <c r="BK14" s="57"/>
      <c r="BL14" s="57"/>
      <c r="BM14" s="57"/>
      <c r="BN14" s="57"/>
    </row>
    <row r="15" spans="1:77" ht="14.45" customHeight="1" x14ac:dyDescent="0.25">
      <c r="A15" s="11">
        <f t="shared" si="0"/>
        <v>11</v>
      </c>
      <c r="B15" s="11" t="s">
        <v>66</v>
      </c>
      <c r="C15" s="15">
        <v>0</v>
      </c>
      <c r="D15" s="15">
        <v>0</v>
      </c>
      <c r="E15" s="15">
        <v>5</v>
      </c>
      <c r="F15" s="15">
        <v>25</v>
      </c>
      <c r="G15" s="15">
        <f t="shared" si="1"/>
        <v>15</v>
      </c>
      <c r="H15" s="15">
        <f t="shared" si="1"/>
        <v>15</v>
      </c>
      <c r="I15" s="15">
        <v>240</v>
      </c>
      <c r="J15" s="15">
        <v>12</v>
      </c>
      <c r="K15" s="15">
        <v>-4</v>
      </c>
      <c r="L15" s="17">
        <v>28</v>
      </c>
      <c r="M15" s="15">
        <v>300</v>
      </c>
      <c r="N15" s="15">
        <v>300</v>
      </c>
      <c r="O15" s="15">
        <v>1</v>
      </c>
      <c r="P15" s="15">
        <v>1</v>
      </c>
      <c r="Q15" s="15">
        <v>0</v>
      </c>
      <c r="R15" s="15">
        <v>0</v>
      </c>
      <c r="S15" s="15"/>
      <c r="T15" s="15"/>
      <c r="U15" s="15"/>
      <c r="V15" s="15"/>
      <c r="W15" s="15"/>
      <c r="X15" s="15">
        <v>1</v>
      </c>
      <c r="Y15" s="15">
        <v>1</v>
      </c>
      <c r="Z15" s="15">
        <v>0</v>
      </c>
      <c r="AA15" s="15">
        <v>0</v>
      </c>
      <c r="AB15" s="15">
        <v>0</v>
      </c>
      <c r="AC15" s="15">
        <v>0</v>
      </c>
      <c r="AD15" s="15">
        <v>0</v>
      </c>
      <c r="AE15" s="15">
        <v>0</v>
      </c>
      <c r="AG15" s="20">
        <v>11</v>
      </c>
      <c r="AH15" s="12">
        <v>-91709.525831835766</v>
      </c>
      <c r="AI15" s="16">
        <v>-29.720679667724553</v>
      </c>
      <c r="AJ15" s="14">
        <v>2.1258762981289792</v>
      </c>
      <c r="AK15" s="14">
        <v>2.1258762981289792</v>
      </c>
      <c r="AL15" s="14">
        <v>18.980437005616103</v>
      </c>
      <c r="AM15" s="12">
        <v>-91709.728599986382</v>
      </c>
      <c r="AN15" s="14">
        <v>-29.720745379625214</v>
      </c>
      <c r="AO15" s="14">
        <v>2.1258776031374982</v>
      </c>
      <c r="AP15" s="14">
        <v>2.1258776031374982</v>
      </c>
      <c r="AQ15" s="14">
        <v>11.019540666047027</v>
      </c>
      <c r="AR15" s="12">
        <v>3085.7142857142858</v>
      </c>
      <c r="AS15" s="12">
        <v>942.85714285714289</v>
      </c>
      <c r="AT15" s="12">
        <v>942.85714285714289</v>
      </c>
      <c r="AU15" s="12">
        <v>942.85714285714289</v>
      </c>
      <c r="AV15" s="16">
        <v>1.291683945750981</v>
      </c>
      <c r="AW15" s="16">
        <v>-0.39804525701350296</v>
      </c>
      <c r="AX15" s="14">
        <v>18.980437005616103</v>
      </c>
      <c r="AY15" s="14">
        <v>11.019540666047027</v>
      </c>
      <c r="AZ15" s="14">
        <v>11.019540666047027</v>
      </c>
      <c r="BA15" s="14">
        <v>18.980454607018064</v>
      </c>
      <c r="BB15" s="12">
        <v>0</v>
      </c>
      <c r="BC15" s="12">
        <v>-91709.525831835766</v>
      </c>
      <c r="BD15" s="12">
        <v>0</v>
      </c>
      <c r="BE15" s="12">
        <v>-91709.525831835766</v>
      </c>
      <c r="BF15" s="12">
        <v>0</v>
      </c>
      <c r="BG15" s="12">
        <v>0</v>
      </c>
      <c r="BH15" s="12">
        <v>-91709.728599986382</v>
      </c>
      <c r="BI15" s="12">
        <v>-91709.728599986382</v>
      </c>
      <c r="BJ15" s="56"/>
      <c r="BK15" s="57"/>
      <c r="BL15" s="57"/>
      <c r="BM15" s="57"/>
      <c r="BN15" s="57"/>
      <c r="BP15" s="15"/>
    </row>
    <row r="16" spans="1:77" ht="14.45" customHeight="1" x14ac:dyDescent="0.25">
      <c r="A16" s="11">
        <f t="shared" si="0"/>
        <v>12</v>
      </c>
      <c r="B16" s="11" t="s">
        <v>66</v>
      </c>
      <c r="C16" s="15">
        <v>0</v>
      </c>
      <c r="D16" s="15">
        <v>0</v>
      </c>
      <c r="E16" s="15">
        <v>5</v>
      </c>
      <c r="F16" s="15">
        <v>25</v>
      </c>
      <c r="G16" s="15">
        <f t="shared" si="1"/>
        <v>15</v>
      </c>
      <c r="H16" s="15">
        <f t="shared" si="1"/>
        <v>15</v>
      </c>
      <c r="I16" s="15">
        <v>240</v>
      </c>
      <c r="J16" s="15">
        <v>12</v>
      </c>
      <c r="K16" s="15">
        <v>-4</v>
      </c>
      <c r="L16" s="17">
        <v>20</v>
      </c>
      <c r="M16" s="15">
        <v>300</v>
      </c>
      <c r="N16" s="15">
        <v>300</v>
      </c>
      <c r="O16" s="15">
        <v>1</v>
      </c>
      <c r="P16" s="15">
        <v>1</v>
      </c>
      <c r="Q16" s="15">
        <v>0</v>
      </c>
      <c r="R16" s="15">
        <v>0</v>
      </c>
      <c r="S16" s="15"/>
      <c r="T16" s="15"/>
      <c r="U16" s="15"/>
      <c r="V16" s="15"/>
      <c r="W16" s="15"/>
      <c r="X16" s="15">
        <v>1</v>
      </c>
      <c r="Y16" s="15">
        <v>1</v>
      </c>
      <c r="Z16" s="15">
        <v>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  <c r="AG16" s="20">
        <v>12</v>
      </c>
      <c r="AH16" s="12">
        <v>-163115.25307937333</v>
      </c>
      <c r="AI16" s="16">
        <v>-37.758160435040125</v>
      </c>
      <c r="AJ16" s="14">
        <v>2.2107097520412839</v>
      </c>
      <c r="AK16" s="14">
        <v>2.2107097520412839</v>
      </c>
      <c r="AL16" s="14">
        <v>22.079655255591874</v>
      </c>
      <c r="AM16" s="12">
        <v>-163115.24901152853</v>
      </c>
      <c r="AN16" s="14">
        <v>-37.758159493409387</v>
      </c>
      <c r="AO16" s="14">
        <v>2.210709741958695</v>
      </c>
      <c r="AP16" s="14">
        <v>2.210709741958695</v>
      </c>
      <c r="AQ16" s="14">
        <v>7.9203450924518268</v>
      </c>
      <c r="AR16" s="12">
        <v>4320</v>
      </c>
      <c r="AS16" s="12">
        <v>1560</v>
      </c>
      <c r="AT16" s="12">
        <v>1560</v>
      </c>
      <c r="AU16" s="12">
        <v>1560</v>
      </c>
      <c r="AV16" s="16">
        <v>0.78068809908026338</v>
      </c>
      <c r="AW16" s="16">
        <v>-0.70796549932921404</v>
      </c>
      <c r="AX16" s="14">
        <v>22.079655255591874</v>
      </c>
      <c r="AY16" s="14">
        <v>7.9203450924518268</v>
      </c>
      <c r="AZ16" s="14">
        <v>7.9203450924518268</v>
      </c>
      <c r="BA16" s="14">
        <v>22.079654902480346</v>
      </c>
      <c r="BB16" s="12">
        <v>0</v>
      </c>
      <c r="BC16" s="12">
        <v>-163115.25307937333</v>
      </c>
      <c r="BD16" s="12">
        <v>0</v>
      </c>
      <c r="BE16" s="12">
        <v>-163115.25307937333</v>
      </c>
      <c r="BF16" s="12">
        <v>0</v>
      </c>
      <c r="BG16" s="12">
        <v>0</v>
      </c>
      <c r="BH16" s="12">
        <v>-163115.24901152853</v>
      </c>
      <c r="BI16" s="12">
        <v>-163115.24901152853</v>
      </c>
      <c r="BJ16" s="56"/>
      <c r="BK16" s="57"/>
      <c r="BL16" s="57"/>
      <c r="BM16" s="57"/>
      <c r="BN16" s="57"/>
    </row>
    <row r="17" spans="1:68" ht="14.45" customHeight="1" x14ac:dyDescent="0.25">
      <c r="A17" s="11">
        <f t="shared" si="0"/>
        <v>13</v>
      </c>
      <c r="B17" s="11" t="s">
        <v>66</v>
      </c>
      <c r="C17" s="15">
        <v>0</v>
      </c>
      <c r="D17" s="15">
        <v>0</v>
      </c>
      <c r="E17" s="15">
        <v>5</v>
      </c>
      <c r="F17" s="15">
        <v>25</v>
      </c>
      <c r="G17" s="15">
        <f t="shared" si="1"/>
        <v>15</v>
      </c>
      <c r="H17" s="15">
        <f t="shared" si="1"/>
        <v>15</v>
      </c>
      <c r="I17" s="15">
        <v>240</v>
      </c>
      <c r="J17" s="15">
        <v>12</v>
      </c>
      <c r="K17" s="15">
        <v>-4</v>
      </c>
      <c r="L17" s="17">
        <v>16</v>
      </c>
      <c r="M17" s="15">
        <v>300</v>
      </c>
      <c r="N17" s="15">
        <v>300</v>
      </c>
      <c r="O17" s="15">
        <v>1</v>
      </c>
      <c r="P17" s="15">
        <v>1</v>
      </c>
      <c r="Q17" s="15">
        <v>0</v>
      </c>
      <c r="R17" s="15">
        <v>0</v>
      </c>
      <c r="S17" s="15"/>
      <c r="T17" s="15"/>
      <c r="U17" s="15"/>
      <c r="V17" s="15"/>
      <c r="W17" s="15"/>
      <c r="X17" s="15">
        <v>1</v>
      </c>
      <c r="Y17" s="15">
        <v>1</v>
      </c>
      <c r="Z17" s="15">
        <v>0</v>
      </c>
      <c r="AA17" s="15">
        <v>0</v>
      </c>
      <c r="AB17" s="15">
        <v>0</v>
      </c>
      <c r="AC17" s="15">
        <v>0</v>
      </c>
      <c r="AD17" s="15">
        <v>0</v>
      </c>
      <c r="AE17" s="15">
        <v>0</v>
      </c>
      <c r="AG17" s="20">
        <v>13</v>
      </c>
      <c r="AH17" s="12">
        <v>-200751.33896995109</v>
      </c>
      <c r="AI17" s="16">
        <v>-37.176173883324275</v>
      </c>
      <c r="AJ17" s="14">
        <v>1.9866331000399688</v>
      </c>
      <c r="AK17" s="14">
        <v>1.9866331000399688</v>
      </c>
      <c r="AL17" s="14">
        <v>23.713155379610019</v>
      </c>
      <c r="AM17" s="12">
        <v>-200751.58778011394</v>
      </c>
      <c r="AN17" s="14">
        <v>-37.17621995928036</v>
      </c>
      <c r="AO17" s="14">
        <v>1.9866333595428949</v>
      </c>
      <c r="AP17" s="14">
        <v>1.9866333595428949</v>
      </c>
      <c r="AQ17" s="14">
        <v>6.2868238718017642</v>
      </c>
      <c r="AR17" s="12">
        <v>5400</v>
      </c>
      <c r="AS17" s="12">
        <v>2100</v>
      </c>
      <c r="AT17" s="12">
        <v>2100</v>
      </c>
      <c r="AU17" s="12">
        <v>2100</v>
      </c>
      <c r="AV17" s="16">
        <v>0.57993973074533844</v>
      </c>
      <c r="AW17" s="16">
        <v>-0.87131711534302314</v>
      </c>
      <c r="AX17" s="14">
        <v>23.713155379610019</v>
      </c>
      <c r="AY17" s="14">
        <v>6.2868238718017642</v>
      </c>
      <c r="AZ17" s="14">
        <v>6.2868238718017642</v>
      </c>
      <c r="BA17" s="14">
        <v>23.713176977714436</v>
      </c>
      <c r="BB17" s="12">
        <v>0</v>
      </c>
      <c r="BC17" s="12">
        <v>-200751.33896995109</v>
      </c>
      <c r="BD17" s="12">
        <v>0</v>
      </c>
      <c r="BE17" s="12">
        <v>-200751.33896995109</v>
      </c>
      <c r="BF17" s="12">
        <v>0</v>
      </c>
      <c r="BG17" s="12">
        <v>0</v>
      </c>
      <c r="BH17" s="12">
        <v>-200751.58778011394</v>
      </c>
      <c r="BI17" s="12">
        <v>-200751.58778011394</v>
      </c>
      <c r="BJ17" s="56"/>
      <c r="BK17" s="57"/>
      <c r="BL17" s="57"/>
      <c r="BM17" s="57"/>
      <c r="BN17" s="57"/>
    </row>
    <row r="18" spans="1:68" ht="14.45" customHeight="1" x14ac:dyDescent="0.25">
      <c r="A18" s="11">
        <f t="shared" si="0"/>
        <v>14</v>
      </c>
      <c r="B18" s="11" t="s">
        <v>66</v>
      </c>
      <c r="C18" s="15">
        <v>0</v>
      </c>
      <c r="D18" s="15">
        <v>0</v>
      </c>
      <c r="E18" s="15">
        <v>5</v>
      </c>
      <c r="F18" s="15">
        <v>25</v>
      </c>
      <c r="G18" s="15">
        <f t="shared" si="1"/>
        <v>15</v>
      </c>
      <c r="H18" s="15">
        <f t="shared" si="1"/>
        <v>15</v>
      </c>
      <c r="I18" s="15">
        <v>240</v>
      </c>
      <c r="J18" s="15">
        <v>12</v>
      </c>
      <c r="K18" s="15">
        <v>-4</v>
      </c>
      <c r="L18" s="17">
        <v>12</v>
      </c>
      <c r="M18" s="15">
        <v>300</v>
      </c>
      <c r="N18" s="15">
        <v>300</v>
      </c>
      <c r="O18" s="15">
        <v>1</v>
      </c>
      <c r="P18" s="15">
        <v>1</v>
      </c>
      <c r="Q18" s="15">
        <v>0</v>
      </c>
      <c r="R18" s="15">
        <v>0</v>
      </c>
      <c r="S18" s="15"/>
      <c r="T18" s="15"/>
      <c r="U18" s="15"/>
      <c r="V18" s="15"/>
      <c r="W18" s="15"/>
      <c r="X18" s="15">
        <v>1</v>
      </c>
      <c r="Y18" s="15">
        <v>1</v>
      </c>
      <c r="Z18" s="15">
        <v>0</v>
      </c>
      <c r="AA18" s="15">
        <v>0</v>
      </c>
      <c r="AB18" s="15">
        <v>0</v>
      </c>
      <c r="AC18" s="15">
        <v>0</v>
      </c>
      <c r="AD18" s="15">
        <v>0</v>
      </c>
      <c r="AE18" s="15">
        <v>0</v>
      </c>
      <c r="AG18" s="20">
        <v>14</v>
      </c>
      <c r="AH18" s="12">
        <v>-223502.20926693996</v>
      </c>
      <c r="AI18" s="16">
        <v>-31.041973509297215</v>
      </c>
      <c r="AJ18" s="14">
        <v>1.5756854870010362</v>
      </c>
      <c r="AK18" s="14">
        <v>1.5756854870010362</v>
      </c>
      <c r="AL18" s="14">
        <v>24.700615234058322</v>
      </c>
      <c r="AM18" s="12">
        <v>-223502.24428231717</v>
      </c>
      <c r="AN18" s="14">
        <v>-31.041978372544051</v>
      </c>
      <c r="AO18" s="14">
        <v>1.575685495898048</v>
      </c>
      <c r="AP18" s="14">
        <v>1.575685495898048</v>
      </c>
      <c r="AQ18" s="14">
        <v>5.2993817907475567</v>
      </c>
      <c r="AR18" s="12">
        <v>7200</v>
      </c>
      <c r="AS18" s="12">
        <v>3000</v>
      </c>
      <c r="AT18" s="12">
        <v>3000</v>
      </c>
      <c r="AU18" s="12">
        <v>3000</v>
      </c>
      <c r="AV18" s="16">
        <v>0.40595781152173693</v>
      </c>
      <c r="AW18" s="16">
        <v>-0.97006174815376978</v>
      </c>
      <c r="AX18" s="14">
        <v>24.700615234058315</v>
      </c>
      <c r="AY18" s="14">
        <v>5.2993817907475558</v>
      </c>
      <c r="AZ18" s="14">
        <v>5.2993817907475558</v>
      </c>
      <c r="BA18" s="14">
        <v>24.700618273587587</v>
      </c>
      <c r="BB18" s="12">
        <v>0</v>
      </c>
      <c r="BC18" s="12">
        <v>-223502.20926693996</v>
      </c>
      <c r="BD18" s="12">
        <v>0</v>
      </c>
      <c r="BE18" s="12">
        <v>-223502.20926693996</v>
      </c>
      <c r="BF18" s="12">
        <v>0</v>
      </c>
      <c r="BG18" s="12">
        <v>0</v>
      </c>
      <c r="BH18" s="12">
        <v>-223502.24428231717</v>
      </c>
      <c r="BI18" s="12">
        <v>-223502.24428231717</v>
      </c>
      <c r="BJ18" s="56"/>
      <c r="BK18" s="57"/>
      <c r="BL18" s="57"/>
      <c r="BM18" s="57"/>
      <c r="BN18" s="57"/>
    </row>
    <row r="19" spans="1:68" x14ac:dyDescent="0.25">
      <c r="A19" s="11">
        <f t="shared" si="0"/>
        <v>15</v>
      </c>
      <c r="B19" s="11" t="s">
        <v>66</v>
      </c>
      <c r="C19" s="15">
        <v>0</v>
      </c>
      <c r="D19" s="15">
        <v>0</v>
      </c>
      <c r="E19" s="15">
        <v>5</v>
      </c>
      <c r="F19" s="15">
        <v>25</v>
      </c>
      <c r="G19" s="15">
        <f t="shared" si="1"/>
        <v>15</v>
      </c>
      <c r="H19" s="15">
        <f t="shared" si="1"/>
        <v>15</v>
      </c>
      <c r="I19" s="15">
        <v>240</v>
      </c>
      <c r="J19" s="15">
        <v>12</v>
      </c>
      <c r="K19" s="15">
        <v>-4</v>
      </c>
      <c r="L19" s="17">
        <v>8</v>
      </c>
      <c r="M19" s="15">
        <v>300</v>
      </c>
      <c r="N19" s="15">
        <v>300</v>
      </c>
      <c r="O19" s="15">
        <v>1</v>
      </c>
      <c r="P19" s="15">
        <v>1</v>
      </c>
      <c r="Q19" s="15">
        <v>0</v>
      </c>
      <c r="R19" s="15">
        <v>0</v>
      </c>
      <c r="S19" s="15"/>
      <c r="T19" s="15"/>
      <c r="U19" s="15"/>
      <c r="V19" s="15"/>
      <c r="W19" s="15"/>
      <c r="X19" s="15">
        <v>1</v>
      </c>
      <c r="Y19" s="15">
        <v>1</v>
      </c>
      <c r="Z19" s="15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G19" s="20">
        <v>15</v>
      </c>
      <c r="AH19" s="12">
        <v>-230168.24835940709</v>
      </c>
      <c r="AI19" s="16">
        <v>-21.311874848093247</v>
      </c>
      <c r="AJ19" s="14">
        <v>1.0661341015718155</v>
      </c>
      <c r="AK19" s="14">
        <v>1.0661341015718155</v>
      </c>
      <c r="AL19" s="14">
        <v>24.989863204518898</v>
      </c>
      <c r="AM19" s="12">
        <v>-230170.05271082922</v>
      </c>
      <c r="AN19" s="14">
        <v>-21.312041917669372</v>
      </c>
      <c r="AO19" s="14">
        <v>1.0661341253007757</v>
      </c>
      <c r="AP19" s="14">
        <v>1.0661341253007757</v>
      </c>
      <c r="AQ19" s="14">
        <v>5.0099805344314792</v>
      </c>
      <c r="AR19" s="12">
        <v>10800</v>
      </c>
      <c r="AS19" s="12">
        <v>4800</v>
      </c>
      <c r="AT19" s="12">
        <v>4800</v>
      </c>
      <c r="AU19" s="12">
        <v>4800</v>
      </c>
      <c r="AV19" s="16">
        <v>0.25372363220108557</v>
      </c>
      <c r="AW19" s="16">
        <v>-0.99899804919756141</v>
      </c>
      <c r="AX19" s="14">
        <v>24.989863204518901</v>
      </c>
      <c r="AY19" s="14">
        <v>5.0099805344314792</v>
      </c>
      <c r="AZ19" s="14">
        <v>5.0099805344314792</v>
      </c>
      <c r="BA19" s="14">
        <v>24.990019832246517</v>
      </c>
      <c r="BB19" s="12">
        <v>0</v>
      </c>
      <c r="BC19" s="12">
        <v>-230168.24835940709</v>
      </c>
      <c r="BD19" s="12">
        <v>0</v>
      </c>
      <c r="BE19" s="12">
        <v>-230168.24835940709</v>
      </c>
      <c r="BF19" s="12">
        <v>0</v>
      </c>
      <c r="BG19" s="12">
        <v>0</v>
      </c>
      <c r="BH19" s="12">
        <v>-230170.05271082922</v>
      </c>
      <c r="BI19" s="12">
        <v>-230170.05271082922</v>
      </c>
      <c r="BJ19" s="56"/>
      <c r="BK19" s="57"/>
      <c r="BL19" s="57"/>
      <c r="BM19" s="57"/>
      <c r="BN19" s="57"/>
    </row>
    <row r="20" spans="1:68" ht="14.45" customHeight="1" x14ac:dyDescent="0.25">
      <c r="A20" s="11">
        <f t="shared" si="0"/>
        <v>16</v>
      </c>
      <c r="B20" s="11" t="s">
        <v>66</v>
      </c>
      <c r="C20" s="15">
        <v>0</v>
      </c>
      <c r="D20" s="15">
        <v>0</v>
      </c>
      <c r="E20" s="15">
        <v>5</v>
      </c>
      <c r="F20" s="15">
        <v>25</v>
      </c>
      <c r="G20" s="15">
        <f t="shared" si="1"/>
        <v>15</v>
      </c>
      <c r="H20" s="15">
        <f t="shared" si="1"/>
        <v>15</v>
      </c>
      <c r="I20" s="15">
        <v>240</v>
      </c>
      <c r="J20" s="15">
        <v>12</v>
      </c>
      <c r="K20" s="15">
        <v>-4</v>
      </c>
      <c r="L20" s="15">
        <f>L8</f>
        <v>24</v>
      </c>
      <c r="M20" s="17">
        <v>0</v>
      </c>
      <c r="N20" s="15">
        <v>300</v>
      </c>
      <c r="O20" s="15">
        <v>1</v>
      </c>
      <c r="P20" s="15">
        <v>1</v>
      </c>
      <c r="Q20" s="15">
        <v>0</v>
      </c>
      <c r="R20" s="15">
        <v>0</v>
      </c>
      <c r="S20" s="15"/>
      <c r="T20" s="15"/>
      <c r="U20" s="15"/>
      <c r="V20" s="15"/>
      <c r="W20" s="15"/>
      <c r="X20" s="15">
        <v>1</v>
      </c>
      <c r="Y20" s="15">
        <v>1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G20" s="20">
        <v>16</v>
      </c>
      <c r="AH20" s="12">
        <v>-157245.63753137813</v>
      </c>
      <c r="AI20" s="16">
        <v>-43.679343758716151</v>
      </c>
      <c r="AJ20" s="14">
        <v>2.5961135169795297</v>
      </c>
      <c r="AK20" s="14">
        <v>2.5961135169795297</v>
      </c>
      <c r="AL20" s="14">
        <v>21.824897475798846</v>
      </c>
      <c r="AM20" s="12">
        <v>-157245.63721879839</v>
      </c>
      <c r="AN20" s="14">
        <v>-43.679343671888439</v>
      </c>
      <c r="AO20" s="14">
        <v>2.5961135159848427</v>
      </c>
      <c r="AP20" s="14">
        <v>2.5961135159848427</v>
      </c>
      <c r="AQ20" s="14">
        <v>8.1751025512000517</v>
      </c>
      <c r="AR20" s="12">
        <v>3600</v>
      </c>
      <c r="AS20" s="12">
        <v>1500</v>
      </c>
      <c r="AT20" s="12">
        <v>1500</v>
      </c>
      <c r="AU20" s="12">
        <v>1500</v>
      </c>
      <c r="AV20" s="16">
        <v>0.81191562304347387</v>
      </c>
      <c r="AW20" s="16">
        <v>-0.68248974555159836</v>
      </c>
      <c r="AX20" s="14">
        <v>21.824897475798846</v>
      </c>
      <c r="AY20" s="14">
        <v>8.1751025512000499</v>
      </c>
      <c r="AZ20" s="14">
        <v>8.1751025512000499</v>
      </c>
      <c r="BA20" s="14">
        <v>21.824897448665187</v>
      </c>
      <c r="BB20" s="12">
        <v>0</v>
      </c>
      <c r="BC20" s="12">
        <v>-157245.63753137813</v>
      </c>
      <c r="BD20" s="12">
        <v>0</v>
      </c>
      <c r="BE20" s="12">
        <v>-157245.63753137813</v>
      </c>
      <c r="BF20" s="12">
        <v>0</v>
      </c>
      <c r="BG20" s="12">
        <v>0</v>
      </c>
      <c r="BH20" s="12">
        <v>-157245.63721879839</v>
      </c>
      <c r="BI20" s="12">
        <v>-157245.63721879839</v>
      </c>
      <c r="BJ20" s="56"/>
      <c r="BK20" s="57"/>
      <c r="BL20" s="57"/>
      <c r="BM20" s="57"/>
      <c r="BN20" s="57"/>
      <c r="BP20" s="15"/>
    </row>
    <row r="21" spans="1:68" ht="14.45" customHeight="1" x14ac:dyDescent="0.25">
      <c r="A21" s="11">
        <f t="shared" si="0"/>
        <v>17</v>
      </c>
      <c r="B21" s="11" t="s">
        <v>66</v>
      </c>
      <c r="C21" s="15">
        <v>0</v>
      </c>
      <c r="D21" s="15">
        <v>0</v>
      </c>
      <c r="E21" s="15">
        <v>5</v>
      </c>
      <c r="F21" s="15">
        <v>25</v>
      </c>
      <c r="G21" s="15">
        <f t="shared" si="1"/>
        <v>15</v>
      </c>
      <c r="H21" s="15">
        <f t="shared" si="1"/>
        <v>15</v>
      </c>
      <c r="I21" s="15">
        <v>240</v>
      </c>
      <c r="J21" s="15">
        <v>12</v>
      </c>
      <c r="K21" s="15">
        <v>-4</v>
      </c>
      <c r="L21" s="15">
        <f>L20</f>
        <v>24</v>
      </c>
      <c r="M21" s="15">
        <v>300</v>
      </c>
      <c r="N21" s="17">
        <v>0</v>
      </c>
      <c r="O21" s="15">
        <v>1</v>
      </c>
      <c r="P21" s="15">
        <v>1</v>
      </c>
      <c r="Q21" s="15">
        <v>0</v>
      </c>
      <c r="R21" s="15">
        <v>0</v>
      </c>
      <c r="S21" s="15"/>
      <c r="T21" s="15"/>
      <c r="U21" s="15"/>
      <c r="V21" s="15"/>
      <c r="W21" s="15"/>
      <c r="X21" s="15">
        <v>1</v>
      </c>
      <c r="Y21" s="15">
        <v>1</v>
      </c>
      <c r="Z21" s="15">
        <v>0</v>
      </c>
      <c r="AA21" s="15">
        <v>0</v>
      </c>
      <c r="AB21" s="15">
        <v>0</v>
      </c>
      <c r="AC21" s="15">
        <v>0</v>
      </c>
      <c r="AD21" s="15">
        <v>0</v>
      </c>
      <c r="AE21" s="15">
        <v>0</v>
      </c>
      <c r="AG21" s="20">
        <v>17</v>
      </c>
      <c r="AH21" s="12">
        <v>-157245.63753137813</v>
      </c>
      <c r="AI21" s="16">
        <v>-43.679343758716151</v>
      </c>
      <c r="AJ21" s="14">
        <v>2.5961135169795297</v>
      </c>
      <c r="AK21" s="14">
        <v>2.5961135169795297</v>
      </c>
      <c r="AL21" s="14">
        <v>21.824897475798846</v>
      </c>
      <c r="AM21" s="12">
        <v>-157245.63721879839</v>
      </c>
      <c r="AN21" s="14">
        <v>-43.679343671888439</v>
      </c>
      <c r="AO21" s="14">
        <v>2.5961135159848427</v>
      </c>
      <c r="AP21" s="14">
        <v>2.5961135159848427</v>
      </c>
      <c r="AQ21" s="14">
        <v>8.1751025512000517</v>
      </c>
      <c r="AR21" s="12">
        <v>3600</v>
      </c>
      <c r="AS21" s="12">
        <v>1500</v>
      </c>
      <c r="AT21" s="12">
        <v>1500</v>
      </c>
      <c r="AU21" s="12">
        <v>1500</v>
      </c>
      <c r="AV21" s="16">
        <v>0.81191562304347387</v>
      </c>
      <c r="AW21" s="16">
        <v>-0.68248974555159836</v>
      </c>
      <c r="AX21" s="14">
        <v>21.824897475798846</v>
      </c>
      <c r="AY21" s="14">
        <v>8.1751025512000499</v>
      </c>
      <c r="AZ21" s="14">
        <v>8.1751025512000499</v>
      </c>
      <c r="BA21" s="14">
        <v>21.824897448665187</v>
      </c>
      <c r="BB21" s="12">
        <v>0</v>
      </c>
      <c r="BC21" s="12">
        <v>-157245.63753137813</v>
      </c>
      <c r="BD21" s="12">
        <v>0</v>
      </c>
      <c r="BE21" s="12">
        <v>-157245.63753137813</v>
      </c>
      <c r="BF21" s="12">
        <v>0</v>
      </c>
      <c r="BG21" s="12">
        <v>0</v>
      </c>
      <c r="BH21" s="12">
        <v>-157245.63721879839</v>
      </c>
      <c r="BI21" s="12">
        <v>-157245.63721879839</v>
      </c>
      <c r="BJ21" s="56"/>
      <c r="BK21" s="57"/>
      <c r="BL21" s="57"/>
      <c r="BM21" s="57"/>
      <c r="BN21" s="57"/>
    </row>
    <row r="22" spans="1:68" ht="14.45" customHeight="1" x14ac:dyDescent="0.25">
      <c r="A22" s="11">
        <f t="shared" si="0"/>
        <v>18</v>
      </c>
      <c r="B22" s="11" t="s">
        <v>66</v>
      </c>
      <c r="C22" s="15">
        <v>0</v>
      </c>
      <c r="D22" s="15">
        <v>0</v>
      </c>
      <c r="E22" s="15">
        <v>5</v>
      </c>
      <c r="F22" s="15">
        <v>25</v>
      </c>
      <c r="G22" s="15">
        <f t="shared" si="1"/>
        <v>15</v>
      </c>
      <c r="H22" s="15">
        <f t="shared" si="1"/>
        <v>15</v>
      </c>
      <c r="I22" s="15">
        <v>240</v>
      </c>
      <c r="J22" s="15">
        <v>12</v>
      </c>
      <c r="K22" s="15">
        <v>-4</v>
      </c>
      <c r="L22" s="17">
        <v>14.4</v>
      </c>
      <c r="M22" s="15">
        <v>300</v>
      </c>
      <c r="N22" s="15">
        <v>300</v>
      </c>
      <c r="O22" s="17">
        <v>0.5</v>
      </c>
      <c r="P22" s="15">
        <v>1</v>
      </c>
      <c r="Q22" s="15">
        <v>0</v>
      </c>
      <c r="R22" s="15">
        <v>0</v>
      </c>
      <c r="S22" s="15"/>
      <c r="T22" s="15"/>
      <c r="U22" s="15"/>
      <c r="V22" s="15"/>
      <c r="W22" s="15"/>
      <c r="X22" s="15">
        <v>1</v>
      </c>
      <c r="Y22" s="15">
        <v>1</v>
      </c>
      <c r="Z22" s="15">
        <v>0</v>
      </c>
      <c r="AA22" s="15">
        <v>0</v>
      </c>
      <c r="AB22" s="15">
        <v>0</v>
      </c>
      <c r="AC22" s="15">
        <v>0</v>
      </c>
      <c r="AD22" s="15">
        <v>0</v>
      </c>
      <c r="AE22" s="15">
        <v>0</v>
      </c>
      <c r="AG22" s="20">
        <v>18</v>
      </c>
      <c r="AH22" s="12">
        <v>-123537.27442499416</v>
      </c>
      <c r="AI22" s="16">
        <v>-20.589545737499027</v>
      </c>
      <c r="AJ22" s="14">
        <v>1.3403029335307521</v>
      </c>
      <c r="AK22" s="14">
        <v>1.3403029335307521</v>
      </c>
      <c r="AL22" s="14">
        <v>20.361859787369195</v>
      </c>
      <c r="AM22" s="12">
        <v>-123537.29736405262</v>
      </c>
      <c r="AN22" s="14">
        <v>-20.589549560675437</v>
      </c>
      <c r="AO22" s="14">
        <v>1.3403029936389765</v>
      </c>
      <c r="AP22" s="14">
        <v>1.3403029936389765</v>
      </c>
      <c r="AQ22" s="14">
        <v>9.6381380490884503</v>
      </c>
      <c r="AR22" s="12">
        <v>6000</v>
      </c>
      <c r="AS22" s="12">
        <v>1200</v>
      </c>
      <c r="AT22" s="12">
        <v>1200</v>
      </c>
      <c r="AU22" s="12">
        <v>1200</v>
      </c>
      <c r="AV22" s="16">
        <v>1.0148945288043423</v>
      </c>
      <c r="AW22" s="16">
        <v>-0.53618613669497994</v>
      </c>
      <c r="AX22" s="14">
        <v>20.361859787369191</v>
      </c>
      <c r="AY22" s="14">
        <v>9.6381380490884485</v>
      </c>
      <c r="AZ22" s="14">
        <v>9.6381380490884485</v>
      </c>
      <c r="BA22" s="14">
        <v>20.361861778606904</v>
      </c>
      <c r="BB22" s="12">
        <v>0</v>
      </c>
      <c r="BC22" s="12">
        <v>-123537.27442499416</v>
      </c>
      <c r="BD22" s="12">
        <v>0</v>
      </c>
      <c r="BE22" s="12">
        <v>-123537.27442499416</v>
      </c>
      <c r="BF22" s="12">
        <v>0</v>
      </c>
      <c r="BG22" s="12">
        <v>0</v>
      </c>
      <c r="BH22" s="12">
        <v>-123537.29736405262</v>
      </c>
      <c r="BI22" s="12">
        <v>-123537.29736405262</v>
      </c>
      <c r="BJ22" s="56"/>
      <c r="BK22" s="57"/>
      <c r="BL22" s="57"/>
      <c r="BM22" s="57"/>
      <c r="BN22" s="57"/>
    </row>
    <row r="23" spans="1:68" ht="14.45" customHeight="1" x14ac:dyDescent="0.25">
      <c r="A23" s="11">
        <f t="shared" si="0"/>
        <v>19</v>
      </c>
      <c r="B23" s="11" t="s">
        <v>66</v>
      </c>
      <c r="C23" s="15">
        <v>0</v>
      </c>
      <c r="D23" s="15">
        <v>0</v>
      </c>
      <c r="E23" s="15">
        <v>5</v>
      </c>
      <c r="F23" s="15">
        <v>25</v>
      </c>
      <c r="G23" s="15">
        <f t="shared" si="1"/>
        <v>15</v>
      </c>
      <c r="H23" s="15">
        <f t="shared" si="1"/>
        <v>15</v>
      </c>
      <c r="I23" s="15">
        <v>240</v>
      </c>
      <c r="J23" s="15">
        <v>12</v>
      </c>
      <c r="K23" s="15">
        <v>-4</v>
      </c>
      <c r="L23" s="15">
        <f>L21</f>
        <v>24</v>
      </c>
      <c r="M23" s="15">
        <v>300</v>
      </c>
      <c r="N23" s="15">
        <v>300</v>
      </c>
      <c r="O23" s="15">
        <v>1</v>
      </c>
      <c r="P23" s="17">
        <v>0.5</v>
      </c>
      <c r="Q23" s="15">
        <v>0</v>
      </c>
      <c r="R23" s="15">
        <v>0</v>
      </c>
      <c r="S23" s="15"/>
      <c r="T23" s="15"/>
      <c r="U23" s="15"/>
      <c r="V23" s="15"/>
      <c r="W23" s="15"/>
      <c r="X23" s="15">
        <v>1</v>
      </c>
      <c r="Y23" s="15">
        <v>1</v>
      </c>
      <c r="Z23" s="15">
        <v>0</v>
      </c>
      <c r="AA23" s="15">
        <v>0</v>
      </c>
      <c r="AB23" s="15">
        <v>0</v>
      </c>
      <c r="AC23" s="15">
        <v>0</v>
      </c>
      <c r="AD23" s="15">
        <v>0</v>
      </c>
      <c r="AE23" s="15">
        <v>0</v>
      </c>
      <c r="AG23" s="20">
        <v>19</v>
      </c>
      <c r="AH23" s="12">
        <v>-88945.14043338153</v>
      </c>
      <c r="AI23" s="16">
        <v>-24.706983453717093</v>
      </c>
      <c r="AJ23" s="14">
        <v>1.3877739662932524</v>
      </c>
      <c r="AK23" s="14">
        <v>1.3877739662932524</v>
      </c>
      <c r="AL23" s="14">
        <v>22.803319599451417</v>
      </c>
      <c r="AM23" s="12">
        <v>-88944.342074628046</v>
      </c>
      <c r="AN23" s="14">
        <v>-24.706761687396678</v>
      </c>
      <c r="AO23" s="14">
        <v>2.4912004895161184</v>
      </c>
      <c r="AP23" s="14">
        <v>2.4912004895161184</v>
      </c>
      <c r="AQ23" s="14">
        <v>15.082387270164823</v>
      </c>
      <c r="AR23" s="12">
        <v>3600</v>
      </c>
      <c r="AS23" s="12">
        <v>1200</v>
      </c>
      <c r="AT23" s="12">
        <v>600</v>
      </c>
      <c r="AU23" s="12">
        <v>1800</v>
      </c>
      <c r="AV23" s="16">
        <v>1.0148945288043423</v>
      </c>
      <c r="AW23" s="16">
        <v>-0.38604488391495134</v>
      </c>
      <c r="AX23" s="14">
        <v>22.803319599451413</v>
      </c>
      <c r="AY23" s="14">
        <v>15.082387270164823</v>
      </c>
      <c r="AZ23" s="14">
        <v>15.082387270164823</v>
      </c>
      <c r="BA23" s="14">
        <v>22.803250297476286</v>
      </c>
      <c r="BB23" s="12">
        <v>0</v>
      </c>
      <c r="BC23" s="12">
        <v>-88945.14043338153</v>
      </c>
      <c r="BD23" s="12">
        <v>0</v>
      </c>
      <c r="BE23" s="12">
        <v>-88945.14043338153</v>
      </c>
      <c r="BF23" s="12">
        <v>0</v>
      </c>
      <c r="BG23" s="12">
        <v>0</v>
      </c>
      <c r="BH23" s="12">
        <v>-88944.342074628046</v>
      </c>
      <c r="BI23" s="12">
        <v>-88944.342074628046</v>
      </c>
      <c r="BJ23" s="56"/>
      <c r="BK23" s="57"/>
      <c r="BL23" s="57"/>
      <c r="BM23" s="57"/>
      <c r="BN23" s="57"/>
    </row>
    <row r="24" spans="1:68" ht="14.45" customHeight="1" x14ac:dyDescent="0.25">
      <c r="A24" s="11">
        <f t="shared" si="0"/>
        <v>20</v>
      </c>
      <c r="B24" s="11" t="s">
        <v>66</v>
      </c>
      <c r="C24" s="15">
        <v>0</v>
      </c>
      <c r="D24" s="15">
        <v>0</v>
      </c>
      <c r="E24" s="15">
        <v>5</v>
      </c>
      <c r="F24" s="15">
        <v>25</v>
      </c>
      <c r="G24" s="15">
        <f t="shared" si="1"/>
        <v>15</v>
      </c>
      <c r="H24" s="15">
        <f t="shared" si="1"/>
        <v>15</v>
      </c>
      <c r="I24" s="15">
        <v>240</v>
      </c>
      <c r="J24" s="15">
        <v>12</v>
      </c>
      <c r="K24" s="15">
        <v>-4</v>
      </c>
      <c r="L24" s="15">
        <f t="shared" ref="L24:L40" si="3">L23</f>
        <v>24</v>
      </c>
      <c r="M24" s="15">
        <v>300</v>
      </c>
      <c r="N24" s="15">
        <v>300</v>
      </c>
      <c r="O24" s="15">
        <v>1</v>
      </c>
      <c r="P24" s="17">
        <v>1.5</v>
      </c>
      <c r="Q24" s="15">
        <v>0</v>
      </c>
      <c r="R24" s="15">
        <v>0</v>
      </c>
      <c r="S24" s="15"/>
      <c r="T24" s="15"/>
      <c r="U24" s="15"/>
      <c r="V24" s="15"/>
      <c r="W24" s="15"/>
      <c r="X24" s="15">
        <v>1</v>
      </c>
      <c r="Y24" s="15">
        <v>1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G24" s="20">
        <v>20</v>
      </c>
      <c r="AH24" s="12">
        <v>-88944.672411042411</v>
      </c>
      <c r="AI24" s="16">
        <v>-24.706853447511779</v>
      </c>
      <c r="AJ24" s="14">
        <v>2.4912024245219939</v>
      </c>
      <c r="AK24" s="14">
        <v>2.4912024245219939</v>
      </c>
      <c r="AL24" s="14">
        <v>14.917641860136063</v>
      </c>
      <c r="AM24" s="12">
        <v>-88944.640699537718</v>
      </c>
      <c r="AN24" s="14">
        <v>-24.706844638760476</v>
      </c>
      <c r="AO24" s="14">
        <v>1.3877716067423118</v>
      </c>
      <c r="AP24" s="14">
        <v>1.3877716067423118</v>
      </c>
      <c r="AQ24" s="14">
        <v>7.1967501577886326</v>
      </c>
      <c r="AR24" s="12">
        <v>3600</v>
      </c>
      <c r="AS24" s="12">
        <v>1200</v>
      </c>
      <c r="AT24" s="12">
        <v>1800</v>
      </c>
      <c r="AU24" s="12">
        <v>600</v>
      </c>
      <c r="AV24" s="16">
        <v>1.0148945288043423</v>
      </c>
      <c r="AW24" s="16">
        <v>-0.38604451629900205</v>
      </c>
      <c r="AX24" s="14">
        <v>14.917641860136063</v>
      </c>
      <c r="AY24" s="14">
        <v>7.1967501577886326</v>
      </c>
      <c r="AZ24" s="14">
        <v>7.1967501577886326</v>
      </c>
      <c r="BA24" s="14">
        <v>14.917639107401282</v>
      </c>
      <c r="BB24" s="12">
        <v>0</v>
      </c>
      <c r="BC24" s="12">
        <v>-88944.672411042411</v>
      </c>
      <c r="BD24" s="12">
        <v>0</v>
      </c>
      <c r="BE24" s="12">
        <v>-88944.672411042411</v>
      </c>
      <c r="BF24" s="12">
        <v>0</v>
      </c>
      <c r="BG24" s="12">
        <v>0</v>
      </c>
      <c r="BH24" s="12">
        <v>-88944.640699537718</v>
      </c>
      <c r="BI24" s="12">
        <v>-88944.640699537718</v>
      </c>
      <c r="BJ24" s="56"/>
      <c r="BK24" s="57"/>
      <c r="BL24" s="57"/>
      <c r="BM24" s="57"/>
      <c r="BN24" s="57"/>
    </row>
    <row r="25" spans="1:68" ht="14.45" customHeight="1" x14ac:dyDescent="0.25">
      <c r="A25" s="11">
        <f t="shared" si="0"/>
        <v>21</v>
      </c>
      <c r="B25" s="11" t="s">
        <v>66</v>
      </c>
      <c r="C25" s="15">
        <v>0</v>
      </c>
      <c r="D25" s="15">
        <v>0</v>
      </c>
      <c r="E25" s="15">
        <v>5</v>
      </c>
      <c r="F25" s="15">
        <v>25</v>
      </c>
      <c r="G25" s="15">
        <f t="shared" si="1"/>
        <v>15</v>
      </c>
      <c r="H25" s="15">
        <f t="shared" si="1"/>
        <v>15</v>
      </c>
      <c r="I25" s="15">
        <v>240</v>
      </c>
      <c r="J25" s="15">
        <v>12</v>
      </c>
      <c r="K25" s="15">
        <v>-4</v>
      </c>
      <c r="L25" s="15">
        <f t="shared" si="3"/>
        <v>24</v>
      </c>
      <c r="M25" s="15">
        <v>300</v>
      </c>
      <c r="N25" s="15">
        <v>300</v>
      </c>
      <c r="O25" s="15">
        <v>1</v>
      </c>
      <c r="P25" s="15">
        <v>1</v>
      </c>
      <c r="Q25" s="66">
        <v>5000</v>
      </c>
      <c r="R25" s="15">
        <v>0</v>
      </c>
      <c r="S25" s="15"/>
      <c r="T25" s="15"/>
      <c r="U25" s="15"/>
      <c r="V25" s="15"/>
      <c r="W25" s="15"/>
      <c r="X25" s="15">
        <v>1</v>
      </c>
      <c r="Y25" s="15">
        <v>1</v>
      </c>
      <c r="Z25" s="15">
        <v>0</v>
      </c>
      <c r="AA25" s="15">
        <v>0</v>
      </c>
      <c r="AB25" s="15">
        <v>0</v>
      </c>
      <c r="AC25" s="15">
        <v>0</v>
      </c>
      <c r="AD25" s="15">
        <v>0</v>
      </c>
      <c r="AE25" s="15">
        <v>0</v>
      </c>
      <c r="AG25" s="20">
        <v>21</v>
      </c>
      <c r="AH25" s="12">
        <v>-31846.260920989997</v>
      </c>
      <c r="AI25" s="16">
        <v>-8.8461835891638874</v>
      </c>
      <c r="AJ25" s="14">
        <v>3.2131173084492719</v>
      </c>
      <c r="AK25" s="14">
        <v>1.8242284195603831</v>
      </c>
      <c r="AL25" s="14">
        <v>13.656058563879672</v>
      </c>
      <c r="AM25" s="12">
        <v>-31846.282396254159</v>
      </c>
      <c r="AN25" s="14">
        <v>-8.8461895545150444</v>
      </c>
      <c r="AO25" s="14">
        <v>2.2749314246473555</v>
      </c>
      <c r="AP25" s="14">
        <v>3.6638203135362444</v>
      </c>
      <c r="AQ25" s="14">
        <v>13.108474748128156</v>
      </c>
      <c r="AR25" s="12">
        <v>3600</v>
      </c>
      <c r="AS25" s="12">
        <v>1200</v>
      </c>
      <c r="AT25" s="12">
        <v>1200</v>
      </c>
      <c r="AU25" s="12">
        <v>1200</v>
      </c>
      <c r="AV25" s="16">
        <v>1.0148945288043423</v>
      </c>
      <c r="AW25" s="16">
        <v>-0.13822166518499165</v>
      </c>
      <c r="AX25" s="14">
        <v>20.294140284646289</v>
      </c>
      <c r="AY25" s="14">
        <v>8.7214873033770672</v>
      </c>
      <c r="AZ25" s="14">
        <v>8.7214873033770672</v>
      </c>
      <c r="BA25" s="14">
        <v>20.294143578398462</v>
      </c>
      <c r="BB25" s="12">
        <v>0</v>
      </c>
      <c r="BC25" s="12">
        <v>-31846.260920989997</v>
      </c>
      <c r="BD25" s="12">
        <v>0</v>
      </c>
      <c r="BE25" s="12">
        <v>-31846.260920989997</v>
      </c>
      <c r="BF25" s="12">
        <v>0</v>
      </c>
      <c r="BG25" s="12">
        <v>0</v>
      </c>
      <c r="BH25" s="12">
        <v>-31846.282396254159</v>
      </c>
      <c r="BI25" s="12">
        <v>-31846.282396254159</v>
      </c>
      <c r="BJ25" s="56"/>
      <c r="BK25" s="57"/>
      <c r="BL25" s="57"/>
      <c r="BM25" s="57"/>
      <c r="BN25" s="57"/>
    </row>
    <row r="26" spans="1:68" ht="14.45" customHeight="1" x14ac:dyDescent="0.25">
      <c r="A26" s="11">
        <f t="shared" si="0"/>
        <v>22</v>
      </c>
      <c r="B26" s="11" t="s">
        <v>66</v>
      </c>
      <c r="C26" s="15">
        <v>0</v>
      </c>
      <c r="D26" s="15">
        <v>0</v>
      </c>
      <c r="E26" s="15">
        <v>5</v>
      </c>
      <c r="F26" s="15">
        <v>25</v>
      </c>
      <c r="G26" s="15">
        <f t="shared" si="1"/>
        <v>15</v>
      </c>
      <c r="H26" s="15">
        <f t="shared" si="1"/>
        <v>15</v>
      </c>
      <c r="I26" s="15">
        <v>240</v>
      </c>
      <c r="J26" s="15">
        <v>12</v>
      </c>
      <c r="K26" s="15">
        <v>-4</v>
      </c>
      <c r="L26" s="15">
        <f t="shared" si="3"/>
        <v>24</v>
      </c>
      <c r="M26" s="15">
        <v>300</v>
      </c>
      <c r="N26" s="15">
        <v>300</v>
      </c>
      <c r="O26" s="15">
        <v>1</v>
      </c>
      <c r="P26" s="15">
        <v>1</v>
      </c>
      <c r="Q26" s="15">
        <v>0</v>
      </c>
      <c r="R26" s="17">
        <v>5000</v>
      </c>
      <c r="S26" s="15"/>
      <c r="T26" s="15"/>
      <c r="U26" s="15"/>
      <c r="V26" s="15"/>
      <c r="W26" s="15"/>
      <c r="X26" s="15">
        <v>1</v>
      </c>
      <c r="Y26" s="15">
        <v>1</v>
      </c>
      <c r="Z26" s="15">
        <v>0</v>
      </c>
      <c r="AA26" s="15">
        <v>0</v>
      </c>
      <c r="AB26" s="15">
        <v>0</v>
      </c>
      <c r="AC26" s="15">
        <v>0</v>
      </c>
      <c r="AD26" s="15">
        <v>0</v>
      </c>
      <c r="AE26" s="15">
        <v>0</v>
      </c>
      <c r="AG26" s="20">
        <v>22</v>
      </c>
      <c r="AH26" s="12">
        <v>-181846.21552483516</v>
      </c>
      <c r="AI26" s="16">
        <v>-50.512837645787542</v>
      </c>
      <c r="AJ26" s="14">
        <v>2.2749311625788451</v>
      </c>
      <c r="AK26" s="14">
        <v>3.6638200514677344</v>
      </c>
      <c r="AL26" s="14">
        <v>16.89152103250527</v>
      </c>
      <c r="AM26" s="12">
        <v>-181846.2799871254</v>
      </c>
      <c r="AN26" s="14">
        <v>-50.512855551979278</v>
      </c>
      <c r="AO26" s="14">
        <v>3.2131174782360481</v>
      </c>
      <c r="AP26" s="14">
        <v>1.8242285893471588</v>
      </c>
      <c r="AQ26" s="14">
        <v>16.343939338540853</v>
      </c>
      <c r="AR26" s="12">
        <v>3600</v>
      </c>
      <c r="AS26" s="12">
        <v>1200</v>
      </c>
      <c r="AT26" s="12">
        <v>1200</v>
      </c>
      <c r="AU26" s="12">
        <v>1200</v>
      </c>
      <c r="AV26" s="16">
        <v>1.0148945288043423</v>
      </c>
      <c r="AW26" s="16">
        <v>-0.78926322810755334</v>
      </c>
      <c r="AX26" s="14">
        <v>21.278506658405014</v>
      </c>
      <c r="AY26" s="14">
        <v>9.705856009201014</v>
      </c>
      <c r="AZ26" s="14">
        <v>9.705856009201014</v>
      </c>
      <c r="BA26" s="14">
        <v>21.278512254089932</v>
      </c>
      <c r="BB26" s="12">
        <v>0</v>
      </c>
      <c r="BC26" s="12">
        <v>-181846.21552483516</v>
      </c>
      <c r="BD26" s="12">
        <v>0</v>
      </c>
      <c r="BE26" s="12">
        <v>-181846.21552483516</v>
      </c>
      <c r="BF26" s="12">
        <v>0</v>
      </c>
      <c r="BG26" s="12">
        <v>0</v>
      </c>
      <c r="BH26" s="12">
        <v>-181846.2799871254</v>
      </c>
      <c r="BI26" s="12">
        <v>-181846.2799871254</v>
      </c>
      <c r="BJ26" s="56"/>
      <c r="BK26" s="57"/>
      <c r="BL26" s="57"/>
      <c r="BM26" s="57"/>
      <c r="BN26" s="57"/>
    </row>
    <row r="27" spans="1:68" ht="14.45" customHeight="1" x14ac:dyDescent="0.25">
      <c r="A27" s="11">
        <f t="shared" si="0"/>
        <v>23</v>
      </c>
      <c r="B27" s="11" t="s">
        <v>66</v>
      </c>
      <c r="C27" s="15">
        <v>0</v>
      </c>
      <c r="D27" s="15">
        <v>0</v>
      </c>
      <c r="E27" s="15">
        <v>5</v>
      </c>
      <c r="F27" s="15">
        <v>25</v>
      </c>
      <c r="G27" s="15">
        <f t="shared" si="1"/>
        <v>15</v>
      </c>
      <c r="H27" s="15">
        <f t="shared" si="1"/>
        <v>15</v>
      </c>
      <c r="I27" s="15">
        <v>240</v>
      </c>
      <c r="J27" s="15">
        <v>12</v>
      </c>
      <c r="K27" s="15">
        <v>-4</v>
      </c>
      <c r="L27" s="15">
        <f t="shared" si="3"/>
        <v>24</v>
      </c>
      <c r="M27" s="15">
        <v>300</v>
      </c>
      <c r="N27" s="15">
        <v>300</v>
      </c>
      <c r="O27" s="15">
        <v>1</v>
      </c>
      <c r="P27" s="15">
        <v>1</v>
      </c>
      <c r="Q27" s="66">
        <v>5000</v>
      </c>
      <c r="R27" s="17">
        <v>5000</v>
      </c>
      <c r="S27" s="15"/>
      <c r="T27" s="15"/>
      <c r="U27" s="15"/>
      <c r="V27" s="15"/>
      <c r="W27" s="15"/>
      <c r="X27" s="15">
        <v>1</v>
      </c>
      <c r="Y27" s="15">
        <v>1</v>
      </c>
      <c r="Z27" s="15">
        <v>0</v>
      </c>
      <c r="AA27" s="15">
        <v>0</v>
      </c>
      <c r="AB27" s="15">
        <v>0</v>
      </c>
      <c r="AC27" s="15">
        <v>0</v>
      </c>
      <c r="AD27" s="15">
        <v>0</v>
      </c>
      <c r="AE27" s="15">
        <v>0</v>
      </c>
      <c r="AG27" s="20">
        <v>23</v>
      </c>
      <c r="AH27" s="12">
        <v>-80543.383902227928</v>
      </c>
      <c r="AI27" s="16">
        <v>-22.373162195063312</v>
      </c>
      <c r="AJ27" s="14">
        <v>3.2525671334430415</v>
      </c>
      <c r="AK27" s="14">
        <v>3.2525671334430415</v>
      </c>
      <c r="AL27" s="14">
        <v>11.878616574896011</v>
      </c>
      <c r="AM27" s="12">
        <v>-80543.479093809714</v>
      </c>
      <c r="AN27" s="14">
        <v>-22.373188637169363</v>
      </c>
      <c r="AO27" s="14">
        <v>3.2525678503057911</v>
      </c>
      <c r="AP27" s="14">
        <v>3.2525678503057911</v>
      </c>
      <c r="AQ27" s="14">
        <v>18.12137681153494</v>
      </c>
      <c r="AR27" s="12">
        <v>3600</v>
      </c>
      <c r="AS27" s="12">
        <v>1200</v>
      </c>
      <c r="AT27" s="12">
        <v>1200</v>
      </c>
      <c r="AU27" s="12">
        <v>1200</v>
      </c>
      <c r="AV27" s="16">
        <v>1.0148945288043423</v>
      </c>
      <c r="AW27" s="16">
        <v>-0.3495808658768178</v>
      </c>
      <c r="AX27" s="14">
        <v>21.176631653393454</v>
      </c>
      <c r="AY27" s="14">
        <v>8.8233519137879419</v>
      </c>
      <c r="AZ27" s="14">
        <v>8.8233519137879419</v>
      </c>
      <c r="BA27" s="14">
        <v>21.176646253329309</v>
      </c>
      <c r="BB27" s="12">
        <v>0</v>
      </c>
      <c r="BC27" s="12">
        <v>-80543.383902227928</v>
      </c>
      <c r="BD27" s="12">
        <v>0</v>
      </c>
      <c r="BE27" s="12">
        <v>-80543.383902227928</v>
      </c>
      <c r="BF27" s="12">
        <v>0</v>
      </c>
      <c r="BG27" s="12">
        <v>0</v>
      </c>
      <c r="BH27" s="12">
        <v>-80543.479093809714</v>
      </c>
      <c r="BI27" s="12">
        <v>-80543.479093809714</v>
      </c>
      <c r="BJ27" s="56"/>
      <c r="BK27" s="57"/>
      <c r="BL27" s="57"/>
      <c r="BM27" s="57"/>
      <c r="BN27" s="57"/>
    </row>
    <row r="28" spans="1:68" ht="14.45" customHeight="1" x14ac:dyDescent="0.25">
      <c r="A28" s="11">
        <f t="shared" si="0"/>
        <v>24</v>
      </c>
      <c r="B28" s="11" t="s">
        <v>66</v>
      </c>
      <c r="C28" s="15">
        <v>0</v>
      </c>
      <c r="D28" s="15">
        <v>0</v>
      </c>
      <c r="E28" s="15">
        <v>5</v>
      </c>
      <c r="F28" s="15">
        <v>25</v>
      </c>
      <c r="G28" s="15">
        <f t="shared" si="1"/>
        <v>15</v>
      </c>
      <c r="H28" s="15">
        <f t="shared" si="1"/>
        <v>15</v>
      </c>
      <c r="I28" s="15">
        <v>240</v>
      </c>
      <c r="J28" s="15">
        <v>12</v>
      </c>
      <c r="K28" s="15">
        <v>-4</v>
      </c>
      <c r="L28" s="15">
        <f t="shared" si="3"/>
        <v>24</v>
      </c>
      <c r="M28" s="15">
        <v>300</v>
      </c>
      <c r="N28" s="15">
        <v>300</v>
      </c>
      <c r="O28" s="15">
        <v>1</v>
      </c>
      <c r="P28" s="15">
        <v>1</v>
      </c>
      <c r="Q28" s="15">
        <v>0</v>
      </c>
      <c r="R28" s="15">
        <v>0</v>
      </c>
      <c r="S28" s="15"/>
      <c r="T28" s="15"/>
      <c r="U28" s="15"/>
      <c r="V28" s="15"/>
      <c r="W28" s="15"/>
      <c r="X28" s="17">
        <v>0.5</v>
      </c>
      <c r="Y28" s="17">
        <v>0.5</v>
      </c>
      <c r="Z28" s="15">
        <v>0</v>
      </c>
      <c r="AA28" s="15">
        <v>0</v>
      </c>
      <c r="AB28" s="15">
        <v>0</v>
      </c>
      <c r="AC28" s="15">
        <v>0</v>
      </c>
      <c r="AD28" s="15">
        <v>0</v>
      </c>
      <c r="AE28" s="15">
        <v>0</v>
      </c>
      <c r="AG28" s="20">
        <v>24</v>
      </c>
      <c r="AH28" s="12">
        <v>-51850.585722772732</v>
      </c>
      <c r="AI28" s="16">
        <v>-14.402940478547981</v>
      </c>
      <c r="AJ28" s="14">
        <v>1.1757099115323755</v>
      </c>
      <c r="AK28" s="14">
        <v>1.1757099115323755</v>
      </c>
      <c r="AL28" s="14">
        <v>17.250420224641754</v>
      </c>
      <c r="AM28" s="12">
        <v>-51851.067959648484</v>
      </c>
      <c r="AN28" s="14">
        <v>-14.403074433235689</v>
      </c>
      <c r="AO28" s="14">
        <v>1.1757133171028225</v>
      </c>
      <c r="AP28" s="14">
        <v>1.1757133171028225</v>
      </c>
      <c r="AQ28" s="14">
        <v>12.74950132509551</v>
      </c>
      <c r="AR28" s="12">
        <v>3600</v>
      </c>
      <c r="AS28" s="12">
        <v>1200</v>
      </c>
      <c r="AT28" s="12">
        <v>1200</v>
      </c>
      <c r="AU28" s="12">
        <v>1200</v>
      </c>
      <c r="AV28" s="16">
        <v>1.0148945288043423</v>
      </c>
      <c r="AW28" s="16">
        <v>-0.22504699149830995</v>
      </c>
      <c r="AX28" s="14">
        <v>17.250420224641754</v>
      </c>
      <c r="AY28" s="14">
        <v>12.74950132509551</v>
      </c>
      <c r="AZ28" s="14">
        <v>12.74950132509551</v>
      </c>
      <c r="BA28" s="14">
        <v>17.250462085481665</v>
      </c>
      <c r="BB28" s="12">
        <v>0</v>
      </c>
      <c r="BC28" s="12">
        <v>-51850.585722772732</v>
      </c>
      <c r="BD28" s="12">
        <v>0</v>
      </c>
      <c r="BE28" s="12">
        <v>-51850.585722772732</v>
      </c>
      <c r="BF28" s="12">
        <v>0</v>
      </c>
      <c r="BG28" s="12">
        <v>0</v>
      </c>
      <c r="BH28" s="12">
        <v>-51851.067959648484</v>
      </c>
      <c r="BI28" s="12">
        <v>-51851.067959648484</v>
      </c>
      <c r="BJ28" s="56"/>
      <c r="BK28" s="57"/>
      <c r="BL28" s="57"/>
      <c r="BM28" s="57"/>
      <c r="BN28" s="57"/>
    </row>
    <row r="29" spans="1:68" ht="14.45" customHeight="1" x14ac:dyDescent="0.25">
      <c r="A29" s="11">
        <f t="shared" si="0"/>
        <v>25</v>
      </c>
      <c r="B29" s="11" t="s">
        <v>66</v>
      </c>
      <c r="C29" s="15">
        <v>0</v>
      </c>
      <c r="D29" s="15">
        <v>0</v>
      </c>
      <c r="E29" s="15">
        <v>5</v>
      </c>
      <c r="F29" s="15">
        <v>25</v>
      </c>
      <c r="G29" s="15">
        <f t="shared" si="1"/>
        <v>15</v>
      </c>
      <c r="H29" s="15">
        <f t="shared" si="1"/>
        <v>15</v>
      </c>
      <c r="I29" s="15">
        <v>240</v>
      </c>
      <c r="J29" s="15">
        <v>12</v>
      </c>
      <c r="K29" s="15">
        <v>-4</v>
      </c>
      <c r="L29" s="15">
        <f t="shared" si="3"/>
        <v>24</v>
      </c>
      <c r="M29" s="15">
        <v>300</v>
      </c>
      <c r="N29" s="15">
        <v>300</v>
      </c>
      <c r="O29" s="15">
        <v>1</v>
      </c>
      <c r="P29" s="15">
        <v>1</v>
      </c>
      <c r="Q29" s="15">
        <v>0</v>
      </c>
      <c r="R29" s="15">
        <v>0</v>
      </c>
      <c r="S29" s="15"/>
      <c r="T29" s="15"/>
      <c r="U29" s="15"/>
      <c r="V29" s="15"/>
      <c r="W29" s="15"/>
      <c r="X29" s="17">
        <v>0.25</v>
      </c>
      <c r="Y29" s="17">
        <v>0.25</v>
      </c>
      <c r="Z29" s="15">
        <v>0</v>
      </c>
      <c r="AA29" s="15">
        <v>0</v>
      </c>
      <c r="AB29" s="15">
        <v>0</v>
      </c>
      <c r="AC29" s="15">
        <v>0</v>
      </c>
      <c r="AD29" s="15">
        <v>0</v>
      </c>
      <c r="AE29" s="15">
        <v>0</v>
      </c>
      <c r="AG29" s="20">
        <v>25</v>
      </c>
      <c r="AH29" s="12">
        <v>-22928.495779275738</v>
      </c>
      <c r="AI29" s="16">
        <v>-6.3690266053543718</v>
      </c>
      <c r="AJ29" s="14">
        <v>0.57927033942351147</v>
      </c>
      <c r="AK29" s="14">
        <v>0.57927033942351147</v>
      </c>
      <c r="AL29" s="14">
        <v>15.99491234385108</v>
      </c>
      <c r="AM29" s="12">
        <v>-22930.034868199804</v>
      </c>
      <c r="AN29" s="14">
        <v>-6.3694541300555008</v>
      </c>
      <c r="AO29" s="14">
        <v>0.57928308413892693</v>
      </c>
      <c r="AP29" s="14">
        <v>0.57928308413892693</v>
      </c>
      <c r="AQ29" s="14">
        <v>14.004591529677841</v>
      </c>
      <c r="AR29" s="12">
        <v>3600</v>
      </c>
      <c r="AS29" s="12">
        <v>1200</v>
      </c>
      <c r="AT29" s="12">
        <v>1200</v>
      </c>
      <c r="AU29" s="12">
        <v>1200</v>
      </c>
      <c r="AV29" s="16">
        <v>1.0148945288043423</v>
      </c>
      <c r="AW29" s="16">
        <v>-9.951938074538963E-2</v>
      </c>
      <c r="AX29" s="14">
        <v>15.994912343851082</v>
      </c>
      <c r="AY29" s="14">
        <v>14.004591529677841</v>
      </c>
      <c r="AZ29" s="14">
        <v>14.004591529677841</v>
      </c>
      <c r="BA29" s="14">
        <v>15.995045945320186</v>
      </c>
      <c r="BB29" s="12">
        <v>0</v>
      </c>
      <c r="BC29" s="12">
        <v>-22928.495779275738</v>
      </c>
      <c r="BD29" s="12">
        <v>0</v>
      </c>
      <c r="BE29" s="12">
        <v>-22928.495779275738</v>
      </c>
      <c r="BF29" s="12">
        <v>0</v>
      </c>
      <c r="BG29" s="12">
        <v>0</v>
      </c>
      <c r="BH29" s="12">
        <v>-22930.034868199804</v>
      </c>
      <c r="BI29" s="12">
        <v>-22930.034868199804</v>
      </c>
      <c r="BJ29" s="56"/>
      <c r="BK29" s="57"/>
      <c r="BL29" s="57"/>
      <c r="BM29" s="57"/>
      <c r="BN29" s="57"/>
    </row>
    <row r="30" spans="1:68" ht="14.45" customHeight="1" x14ac:dyDescent="0.25">
      <c r="A30" s="11">
        <f t="shared" si="0"/>
        <v>26</v>
      </c>
      <c r="B30" s="11" t="s">
        <v>66</v>
      </c>
      <c r="C30" s="15">
        <v>0</v>
      </c>
      <c r="D30" s="15">
        <v>0</v>
      </c>
      <c r="E30" s="15">
        <v>5</v>
      </c>
      <c r="F30" s="15">
        <v>25</v>
      </c>
      <c r="G30" s="15">
        <f t="shared" si="1"/>
        <v>15</v>
      </c>
      <c r="H30" s="15">
        <f t="shared" si="1"/>
        <v>15</v>
      </c>
      <c r="I30" s="15">
        <v>240</v>
      </c>
      <c r="J30" s="15">
        <v>12</v>
      </c>
      <c r="K30" s="15">
        <v>-4</v>
      </c>
      <c r="L30" s="15">
        <f t="shared" si="3"/>
        <v>24</v>
      </c>
      <c r="M30" s="15">
        <v>300</v>
      </c>
      <c r="N30" s="15">
        <v>300</v>
      </c>
      <c r="O30" s="15">
        <v>1</v>
      </c>
      <c r="P30" s="15">
        <v>1</v>
      </c>
      <c r="Q30" s="15">
        <v>0</v>
      </c>
      <c r="R30" s="15">
        <v>0</v>
      </c>
      <c r="S30" s="15"/>
      <c r="T30" s="15"/>
      <c r="U30" s="15"/>
      <c r="V30" s="15"/>
      <c r="W30" s="15"/>
      <c r="X30" s="15">
        <v>1</v>
      </c>
      <c r="Y30" s="15">
        <v>1</v>
      </c>
      <c r="Z30" s="17">
        <v>1</v>
      </c>
      <c r="AA30" s="15">
        <v>0</v>
      </c>
      <c r="AB30" s="15">
        <v>0</v>
      </c>
      <c r="AC30" s="15">
        <v>0</v>
      </c>
      <c r="AD30" s="15">
        <v>0</v>
      </c>
      <c r="AE30" s="15">
        <v>0</v>
      </c>
      <c r="AG30" s="20">
        <v>26</v>
      </c>
      <c r="AH30" s="12">
        <v>-123537.27442499416</v>
      </c>
      <c r="AI30" s="16">
        <v>-34.315909562498376</v>
      </c>
      <c r="AJ30" s="14">
        <v>2.2338382225512534</v>
      </c>
      <c r="AK30" s="14">
        <v>2.2338382225512534</v>
      </c>
      <c r="AL30" s="14">
        <v>20.361859787369195</v>
      </c>
      <c r="AM30" s="12">
        <v>-123537.29736405262</v>
      </c>
      <c r="AN30" s="14">
        <v>-34.315915934459063</v>
      </c>
      <c r="AO30" s="14">
        <v>2.2338383227316276</v>
      </c>
      <c r="AP30" s="14">
        <v>2.2338383227316276</v>
      </c>
      <c r="AQ30" s="14">
        <v>9.6381380490884503</v>
      </c>
      <c r="AR30" s="12">
        <v>3600</v>
      </c>
      <c r="AS30" s="12">
        <v>1200</v>
      </c>
      <c r="AT30" s="12">
        <v>1200</v>
      </c>
      <c r="AU30" s="12">
        <v>1200</v>
      </c>
      <c r="AV30" s="16">
        <v>1.0148945288043423</v>
      </c>
      <c r="AW30" s="16">
        <v>-0.53618613669497994</v>
      </c>
      <c r="AX30" s="14">
        <v>20.361859787369191</v>
      </c>
      <c r="AY30" s="14">
        <v>9.6381380490884485</v>
      </c>
      <c r="AZ30" s="14">
        <v>9.6381380490884485</v>
      </c>
      <c r="BA30" s="14">
        <v>20.361861778606904</v>
      </c>
      <c r="BB30" s="12">
        <v>0</v>
      </c>
      <c r="BC30" s="12">
        <v>-123537.27442499416</v>
      </c>
      <c r="BD30" s="12">
        <v>0</v>
      </c>
      <c r="BE30" s="12">
        <v>-123537.27442499416</v>
      </c>
      <c r="BF30" s="12">
        <v>0</v>
      </c>
      <c r="BG30" s="12">
        <v>0</v>
      </c>
      <c r="BH30" s="12">
        <v>-123537.29736405262</v>
      </c>
      <c r="BI30" s="12">
        <v>-123537.29736405262</v>
      </c>
      <c r="BJ30" s="56"/>
      <c r="BK30" s="57"/>
      <c r="BL30" s="57"/>
      <c r="BM30" s="57"/>
      <c r="BN30" s="57"/>
    </row>
    <row r="31" spans="1:68" ht="14.45" customHeight="1" x14ac:dyDescent="0.25">
      <c r="A31" s="11">
        <f t="shared" si="0"/>
        <v>27</v>
      </c>
      <c r="B31" s="11" t="s">
        <v>66</v>
      </c>
      <c r="C31" s="15">
        <v>0</v>
      </c>
      <c r="D31" s="15">
        <v>0</v>
      </c>
      <c r="E31" s="15">
        <v>5</v>
      </c>
      <c r="F31" s="15">
        <v>25</v>
      </c>
      <c r="G31" s="15">
        <f t="shared" si="1"/>
        <v>15</v>
      </c>
      <c r="H31" s="15">
        <f t="shared" si="1"/>
        <v>15</v>
      </c>
      <c r="I31" s="15">
        <v>240</v>
      </c>
      <c r="J31" s="15">
        <v>12</v>
      </c>
      <c r="K31" s="15">
        <v>-4</v>
      </c>
      <c r="L31" s="15">
        <f t="shared" si="3"/>
        <v>24</v>
      </c>
      <c r="M31" s="15">
        <v>300</v>
      </c>
      <c r="N31" s="15">
        <v>300</v>
      </c>
      <c r="O31" s="15">
        <v>1</v>
      </c>
      <c r="P31" s="15">
        <v>1</v>
      </c>
      <c r="Q31" s="15">
        <v>0</v>
      </c>
      <c r="R31" s="15">
        <v>0</v>
      </c>
      <c r="S31" s="15"/>
      <c r="T31" s="15"/>
      <c r="U31" s="15"/>
      <c r="V31" s="15"/>
      <c r="W31" s="15"/>
      <c r="X31" s="15">
        <v>1</v>
      </c>
      <c r="Y31" s="15">
        <v>1</v>
      </c>
      <c r="Z31" s="15">
        <v>0</v>
      </c>
      <c r="AA31" s="17">
        <v>1</v>
      </c>
      <c r="AB31" s="15">
        <v>0</v>
      </c>
      <c r="AC31" s="15">
        <v>0</v>
      </c>
      <c r="AD31" s="15">
        <v>0</v>
      </c>
      <c r="AE31" s="15">
        <v>0</v>
      </c>
      <c r="AG31" s="20">
        <v>27</v>
      </c>
      <c r="AH31" s="12">
        <v>-90127.696633212472</v>
      </c>
      <c r="AI31" s="16">
        <v>-25.035471287003464</v>
      </c>
      <c r="AJ31" s="14">
        <v>2.6961283205034041</v>
      </c>
      <c r="AK31" s="14">
        <v>2.029461653836738</v>
      </c>
      <c r="AL31" s="14">
        <v>18.978487628334836</v>
      </c>
      <c r="AM31" s="12">
        <v>-90127.819829894928</v>
      </c>
      <c r="AN31" s="14">
        <v>-25.035505508304148</v>
      </c>
      <c r="AO31" s="14">
        <v>2.0955567402306836</v>
      </c>
      <c r="AP31" s="14">
        <v>2.7622234068973506</v>
      </c>
      <c r="AQ31" s="14">
        <v>9.9026794607419131</v>
      </c>
      <c r="AR31" s="12">
        <v>3600</v>
      </c>
      <c r="AS31" s="12">
        <v>1200</v>
      </c>
      <c r="AT31" s="12">
        <v>1200</v>
      </c>
      <c r="AU31" s="12">
        <v>1200</v>
      </c>
      <c r="AV31" s="16">
        <v>1.0148945288043423</v>
      </c>
      <c r="AW31" s="16">
        <v>-0.39117950621334069</v>
      </c>
      <c r="AX31" s="14">
        <v>18.978487628334836</v>
      </c>
      <c r="AY31" s="14">
        <v>8.6571437231947073</v>
      </c>
      <c r="AZ31" s="14">
        <v>8.6571437231947073</v>
      </c>
      <c r="BA31" s="14">
        <v>18.978498322491301</v>
      </c>
      <c r="BB31" s="12">
        <v>0</v>
      </c>
      <c r="BC31" s="12">
        <v>-96127.696633212472</v>
      </c>
      <c r="BD31" s="12">
        <v>6000</v>
      </c>
      <c r="BE31" s="12">
        <v>-90127.696633212472</v>
      </c>
      <c r="BF31" s="12">
        <v>22774.185154001803</v>
      </c>
      <c r="BG31" s="12">
        <v>0</v>
      </c>
      <c r="BH31" s="12">
        <v>-112902.00498389674</v>
      </c>
      <c r="BI31" s="12">
        <v>-90127.819829894928</v>
      </c>
      <c r="BJ31" s="56"/>
      <c r="BK31" s="57"/>
      <c r="BL31" s="57"/>
      <c r="BM31" s="57"/>
      <c r="BN31" s="57"/>
    </row>
    <row r="32" spans="1:68" ht="14.45" customHeight="1" x14ac:dyDescent="0.25">
      <c r="A32" s="11">
        <f t="shared" si="0"/>
        <v>28</v>
      </c>
      <c r="B32" s="11" t="s">
        <v>66</v>
      </c>
      <c r="C32" s="15">
        <v>0</v>
      </c>
      <c r="D32" s="15">
        <v>0</v>
      </c>
      <c r="E32" s="15">
        <v>5</v>
      </c>
      <c r="F32" s="15">
        <v>25</v>
      </c>
      <c r="G32" s="15">
        <f t="shared" si="1"/>
        <v>15</v>
      </c>
      <c r="H32" s="15">
        <f t="shared" si="1"/>
        <v>15</v>
      </c>
      <c r="I32" s="15">
        <v>240</v>
      </c>
      <c r="J32" s="15">
        <v>12</v>
      </c>
      <c r="K32" s="15">
        <v>-4</v>
      </c>
      <c r="L32" s="15">
        <f t="shared" si="3"/>
        <v>24</v>
      </c>
      <c r="M32" s="15">
        <v>300</v>
      </c>
      <c r="N32" s="15">
        <v>300</v>
      </c>
      <c r="O32" s="15">
        <v>1</v>
      </c>
      <c r="P32" s="15">
        <v>1</v>
      </c>
      <c r="Q32" s="15">
        <v>0</v>
      </c>
      <c r="R32" s="15">
        <v>0</v>
      </c>
      <c r="S32" s="15"/>
      <c r="T32" s="15"/>
      <c r="U32" s="15"/>
      <c r="V32" s="15"/>
      <c r="W32" s="15"/>
      <c r="X32" s="15">
        <v>1</v>
      </c>
      <c r="Y32" s="15">
        <v>1</v>
      </c>
      <c r="Z32" s="15">
        <v>0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G32" s="20">
        <v>28</v>
      </c>
      <c r="AH32" s="12">
        <v>-123537.27442499416</v>
      </c>
      <c r="AI32" s="16">
        <v>-34.315909562498376</v>
      </c>
      <c r="AJ32" s="14">
        <v>2.2338382225512534</v>
      </c>
      <c r="AK32" s="14">
        <v>2.2338382225512534</v>
      </c>
      <c r="AL32" s="14">
        <v>20.361859787369195</v>
      </c>
      <c r="AM32" s="12">
        <v>-123537.29736405262</v>
      </c>
      <c r="AN32" s="14">
        <v>-34.315915934459063</v>
      </c>
      <c r="AO32" s="14">
        <v>2.2338383227316276</v>
      </c>
      <c r="AP32" s="14">
        <v>2.2338383227316276</v>
      </c>
      <c r="AQ32" s="14">
        <v>9.6381380490884503</v>
      </c>
      <c r="AR32" s="12">
        <v>3600</v>
      </c>
      <c r="AS32" s="12">
        <v>1200</v>
      </c>
      <c r="AT32" s="12">
        <v>1200</v>
      </c>
      <c r="AU32" s="12">
        <v>1200</v>
      </c>
      <c r="AV32" s="16">
        <v>1.0148945288043423</v>
      </c>
      <c r="AW32" s="16">
        <v>-0.53618613669497994</v>
      </c>
      <c r="AX32" s="14">
        <v>20.361859787369191</v>
      </c>
      <c r="AY32" s="14">
        <v>9.6381380490884485</v>
      </c>
      <c r="AZ32" s="14">
        <v>9.6381380490884485</v>
      </c>
      <c r="BA32" s="14">
        <v>20.361861778606904</v>
      </c>
      <c r="BB32" s="12">
        <v>0</v>
      </c>
      <c r="BC32" s="12">
        <v>-123537.27442499416</v>
      </c>
      <c r="BD32" s="12">
        <v>0</v>
      </c>
      <c r="BE32" s="12">
        <v>-123537.27442499416</v>
      </c>
      <c r="BF32" s="12">
        <v>0</v>
      </c>
      <c r="BG32" s="12">
        <v>0</v>
      </c>
      <c r="BH32" s="12">
        <v>-123537.29736405262</v>
      </c>
      <c r="BI32" s="12">
        <v>-123537.29736405262</v>
      </c>
      <c r="BJ32" s="56"/>
      <c r="BK32" s="57"/>
      <c r="BL32" s="57"/>
      <c r="BM32" s="57"/>
      <c r="BN32" s="57"/>
    </row>
    <row r="33" spans="1:71" ht="14.45" customHeight="1" x14ac:dyDescent="0.25">
      <c r="A33" s="11">
        <f t="shared" si="0"/>
        <v>29</v>
      </c>
      <c r="B33" s="11" t="s">
        <v>66</v>
      </c>
      <c r="C33" s="15">
        <v>0</v>
      </c>
      <c r="D33" s="17">
        <v>-2</v>
      </c>
      <c r="E33" s="15">
        <v>5</v>
      </c>
      <c r="F33" s="15">
        <v>25</v>
      </c>
      <c r="G33" s="15">
        <f t="shared" si="1"/>
        <v>15</v>
      </c>
      <c r="H33" s="15">
        <f t="shared" si="1"/>
        <v>15</v>
      </c>
      <c r="I33" s="15">
        <v>240</v>
      </c>
      <c r="J33" s="15">
        <v>12</v>
      </c>
      <c r="K33" s="15">
        <v>-4</v>
      </c>
      <c r="L33" s="15">
        <f t="shared" si="3"/>
        <v>24</v>
      </c>
      <c r="M33" s="15">
        <v>300</v>
      </c>
      <c r="N33" s="15">
        <v>300</v>
      </c>
      <c r="O33" s="15">
        <v>1</v>
      </c>
      <c r="P33" s="15">
        <v>1</v>
      </c>
      <c r="Q33" s="15">
        <v>0</v>
      </c>
      <c r="R33" s="15">
        <v>0</v>
      </c>
      <c r="S33" s="15"/>
      <c r="T33" s="15"/>
      <c r="U33" s="15"/>
      <c r="V33" s="15"/>
      <c r="W33" s="15"/>
      <c r="X33" s="15">
        <v>1</v>
      </c>
      <c r="Y33" s="15">
        <v>1</v>
      </c>
      <c r="Z33" s="15">
        <v>0</v>
      </c>
      <c r="AA33" s="15">
        <v>0</v>
      </c>
      <c r="AB33" s="15">
        <v>0</v>
      </c>
      <c r="AC33" s="15">
        <v>0</v>
      </c>
      <c r="AD33" s="15">
        <v>0</v>
      </c>
      <c r="AE33" s="15">
        <v>0</v>
      </c>
      <c r="AG33" s="20">
        <v>29</v>
      </c>
      <c r="AH33" s="12">
        <v>-7880.7723097842099</v>
      </c>
      <c r="AI33" s="16">
        <v>-2.1891034193845029</v>
      </c>
      <c r="AJ33" s="14">
        <v>3.2103535580316374</v>
      </c>
      <c r="AK33" s="14">
        <v>1.6103535580316377</v>
      </c>
      <c r="AL33" s="14">
        <v>11.327246192965733</v>
      </c>
      <c r="AM33" s="12">
        <v>-7881.2778822364417</v>
      </c>
      <c r="AN33" s="14">
        <v>-2.1892438561767893</v>
      </c>
      <c r="AO33" s="14">
        <v>0.90279543900782477</v>
      </c>
      <c r="AP33" s="14">
        <v>2.5027954390078251</v>
      </c>
      <c r="AQ33" s="14">
        <v>8.1431513744080739</v>
      </c>
      <c r="AR33" s="12">
        <v>3600</v>
      </c>
      <c r="AS33" s="12">
        <v>1200</v>
      </c>
      <c r="AT33" s="12">
        <v>1200</v>
      </c>
      <c r="AU33" s="12">
        <v>1200</v>
      </c>
      <c r="AV33" s="16">
        <v>1.1718992588085306</v>
      </c>
      <c r="AW33" s="16">
        <v>-4.560778412043013E-2</v>
      </c>
      <c r="AX33" s="14">
        <v>11.327246192965733</v>
      </c>
      <c r="AY33" s="14">
        <v>8.1431513744080757</v>
      </c>
      <c r="AZ33" s="14">
        <v>8.1431513744080757</v>
      </c>
      <c r="BA33" s="14">
        <v>17.654580158926642</v>
      </c>
      <c r="BB33" s="12">
        <v>28800</v>
      </c>
      <c r="BC33" s="12">
        <v>-36680.77230978421</v>
      </c>
      <c r="BD33" s="12">
        <v>0</v>
      </c>
      <c r="BE33" s="12">
        <v>-7880.7723097842099</v>
      </c>
      <c r="BF33" s="12">
        <v>0</v>
      </c>
      <c r="BG33" s="12">
        <v>46904.551916590513</v>
      </c>
      <c r="BH33" s="12">
        <v>-54785.829798826955</v>
      </c>
      <c r="BI33" s="12">
        <v>-7881.2778822364417</v>
      </c>
      <c r="BJ33" s="56"/>
      <c r="BK33" s="57"/>
      <c r="BL33" s="57"/>
      <c r="BM33" s="57"/>
      <c r="BN33" s="57"/>
    </row>
    <row r="34" spans="1:71" ht="14.45" customHeight="1" x14ac:dyDescent="0.25">
      <c r="A34" s="11">
        <f t="shared" si="0"/>
        <v>30</v>
      </c>
      <c r="B34" s="11" t="s">
        <v>66</v>
      </c>
      <c r="C34" s="15">
        <v>0</v>
      </c>
      <c r="D34" s="17">
        <v>2</v>
      </c>
      <c r="E34" s="15">
        <v>5</v>
      </c>
      <c r="F34" s="15">
        <v>25</v>
      </c>
      <c r="G34" s="15">
        <f t="shared" si="1"/>
        <v>15</v>
      </c>
      <c r="H34" s="15">
        <f t="shared" si="1"/>
        <v>15</v>
      </c>
      <c r="I34" s="15">
        <v>240</v>
      </c>
      <c r="J34" s="15">
        <v>12</v>
      </c>
      <c r="K34" s="15">
        <v>-4</v>
      </c>
      <c r="L34" s="15">
        <f t="shared" si="3"/>
        <v>24</v>
      </c>
      <c r="M34" s="15">
        <v>300</v>
      </c>
      <c r="N34" s="15">
        <v>300</v>
      </c>
      <c r="O34" s="15">
        <v>1</v>
      </c>
      <c r="P34" s="15">
        <v>1</v>
      </c>
      <c r="Q34" s="15">
        <v>0</v>
      </c>
      <c r="R34" s="15">
        <v>0</v>
      </c>
      <c r="S34" s="15"/>
      <c r="T34" s="15"/>
      <c r="U34" s="15"/>
      <c r="V34" s="15"/>
      <c r="W34" s="15"/>
      <c r="X34" s="15">
        <v>1</v>
      </c>
      <c r="Y34" s="15">
        <v>1</v>
      </c>
      <c r="Z34" s="15">
        <v>0</v>
      </c>
      <c r="AA34" s="15">
        <v>0</v>
      </c>
      <c r="AB34" s="15">
        <v>0</v>
      </c>
      <c r="AC34" s="15">
        <v>0</v>
      </c>
      <c r="AD34" s="15">
        <v>0</v>
      </c>
      <c r="AE34" s="15">
        <v>0</v>
      </c>
      <c r="AG34" s="20">
        <v>30</v>
      </c>
      <c r="AH34" s="12">
        <v>-266382.69784545741</v>
      </c>
      <c r="AI34" s="16">
        <v>-73.995193845960387</v>
      </c>
      <c r="AJ34" s="14">
        <v>2.3018996781390659</v>
      </c>
      <c r="AK34" s="14">
        <v>3.901899678139066</v>
      </c>
      <c r="AL34" s="14">
        <v>21.913606009838645</v>
      </c>
      <c r="AM34" s="12">
        <v>-266384.91697025596</v>
      </c>
      <c r="AN34" s="14">
        <v>-73.995810269515545</v>
      </c>
      <c r="AO34" s="14">
        <v>4.9431729924769146</v>
      </c>
      <c r="AP34" s="14">
        <v>3.3431729924769149</v>
      </c>
      <c r="AQ34" s="14">
        <v>14.831273958596896</v>
      </c>
      <c r="AR34" s="12">
        <v>3600</v>
      </c>
      <c r="AS34" s="12">
        <v>1200</v>
      </c>
      <c r="AT34" s="12">
        <v>1200</v>
      </c>
      <c r="AU34" s="12">
        <v>1200</v>
      </c>
      <c r="AV34" s="16">
        <v>0.90774926255965094</v>
      </c>
      <c r="AW34" s="16">
        <v>-0.92494377572172459</v>
      </c>
      <c r="AX34" s="14">
        <v>21.913606009838649</v>
      </c>
      <c r="AY34" s="14">
        <v>9.7469109378953487</v>
      </c>
      <c r="AZ34" s="14">
        <v>14.831273958596899</v>
      </c>
      <c r="BA34" s="14">
        <v>21.913734431412639</v>
      </c>
      <c r="BB34" s="12">
        <v>-126222.37061667061</v>
      </c>
      <c r="BC34" s="12">
        <v>-140160.3272287868</v>
      </c>
      <c r="BD34" s="12">
        <v>0</v>
      </c>
      <c r="BE34" s="12">
        <v>-266382.69784545741</v>
      </c>
      <c r="BF34" s="12">
        <v>0</v>
      </c>
      <c r="BG34" s="12">
        <v>-144000</v>
      </c>
      <c r="BH34" s="12">
        <v>-122384.91697025596</v>
      </c>
      <c r="BI34" s="12">
        <v>-266384.91697025596</v>
      </c>
      <c r="BJ34" s="56"/>
      <c r="BK34" s="57"/>
      <c r="BL34" s="57"/>
      <c r="BM34" s="57"/>
      <c r="BN34" s="57"/>
    </row>
    <row r="35" spans="1:71" ht="14.45" customHeight="1" x14ac:dyDescent="0.25">
      <c r="A35" s="11">
        <f t="shared" si="0"/>
        <v>31</v>
      </c>
      <c r="B35" s="11" t="s">
        <v>66</v>
      </c>
      <c r="C35" s="15">
        <v>0</v>
      </c>
      <c r="D35" s="17">
        <v>-2</v>
      </c>
      <c r="E35" s="15">
        <v>5</v>
      </c>
      <c r="F35" s="15">
        <v>25</v>
      </c>
      <c r="G35" s="15">
        <f t="shared" si="1"/>
        <v>15</v>
      </c>
      <c r="H35" s="15">
        <f t="shared" si="1"/>
        <v>15</v>
      </c>
      <c r="I35" s="15">
        <v>240</v>
      </c>
      <c r="J35" s="15">
        <v>12</v>
      </c>
      <c r="K35" s="15">
        <v>-4</v>
      </c>
      <c r="L35" s="15">
        <f t="shared" si="3"/>
        <v>24</v>
      </c>
      <c r="M35" s="15">
        <v>300</v>
      </c>
      <c r="N35" s="15">
        <v>300</v>
      </c>
      <c r="O35" s="15">
        <v>1</v>
      </c>
      <c r="P35" s="15">
        <v>1</v>
      </c>
      <c r="Q35" s="15">
        <v>0</v>
      </c>
      <c r="R35" s="15">
        <v>0</v>
      </c>
      <c r="S35" s="15"/>
      <c r="T35" s="15"/>
      <c r="U35" s="15"/>
      <c r="V35" s="15"/>
      <c r="W35" s="15"/>
      <c r="X35" s="15">
        <v>1</v>
      </c>
      <c r="Y35" s="15">
        <v>1</v>
      </c>
      <c r="Z35" s="17">
        <v>1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G35" s="20">
        <v>31</v>
      </c>
      <c r="AH35" s="12">
        <v>16512.317774209987</v>
      </c>
      <c r="AI35" s="16">
        <v>4.5867549372805518</v>
      </c>
      <c r="AJ35" s="14">
        <v>3.5858452120972362</v>
      </c>
      <c r="AK35" s="14">
        <v>1.3191785454305698</v>
      </c>
      <c r="AL35" s="14">
        <v>10.114226894776211</v>
      </c>
      <c r="AM35" s="12">
        <v>16511.976871566614</v>
      </c>
      <c r="AN35" s="14">
        <v>4.5866602421018374</v>
      </c>
      <c r="AO35" s="14">
        <v>0.75500983041474923</v>
      </c>
      <c r="AP35" s="14">
        <v>3.0216764970814158</v>
      </c>
      <c r="AQ35" s="14">
        <v>7.7645327106101565</v>
      </c>
      <c r="AR35" s="12">
        <v>3600</v>
      </c>
      <c r="AS35" s="12">
        <v>1200</v>
      </c>
      <c r="AT35" s="12">
        <v>1200</v>
      </c>
      <c r="AU35" s="12">
        <v>1200</v>
      </c>
      <c r="AV35" s="16">
        <v>1.1718992588085306</v>
      </c>
      <c r="AW35" s="16">
        <v>9.5556408118566555E-2</v>
      </c>
      <c r="AX35" s="14">
        <v>10.114226894776211</v>
      </c>
      <c r="AY35" s="14">
        <v>7.4731891778038602</v>
      </c>
      <c r="AZ35" s="14">
        <v>7.4731891778038602</v>
      </c>
      <c r="BA35" s="14">
        <v>15.228512974039116</v>
      </c>
      <c r="BB35" s="12">
        <v>28800</v>
      </c>
      <c r="BC35" s="12">
        <v>-18287.682225790013</v>
      </c>
      <c r="BD35" s="12">
        <v>6000</v>
      </c>
      <c r="BE35" s="12">
        <v>16512.317774209987</v>
      </c>
      <c r="BF35" s="12">
        <v>12137.072273731454</v>
      </c>
      <c r="BG35" s="12">
        <v>43045.569664150236</v>
      </c>
      <c r="BH35" s="12">
        <v>-38670.665066315079</v>
      </c>
      <c r="BI35" s="12">
        <v>16511.976871566614</v>
      </c>
      <c r="BJ35" s="56"/>
      <c r="BK35" s="57"/>
      <c r="BL35" s="57"/>
      <c r="BM35" s="57"/>
      <c r="BN35" s="57"/>
    </row>
    <row r="36" spans="1:71" ht="14.45" customHeight="1" x14ac:dyDescent="0.25">
      <c r="A36" s="11">
        <f t="shared" si="0"/>
        <v>32</v>
      </c>
      <c r="B36" s="11" t="s">
        <v>66</v>
      </c>
      <c r="C36" s="15">
        <v>0</v>
      </c>
      <c r="D36" s="17">
        <v>2</v>
      </c>
      <c r="E36" s="15">
        <v>5</v>
      </c>
      <c r="F36" s="15">
        <v>25</v>
      </c>
      <c r="G36" s="15">
        <f t="shared" si="1"/>
        <v>15</v>
      </c>
      <c r="H36" s="15">
        <f t="shared" si="1"/>
        <v>15</v>
      </c>
      <c r="I36" s="15">
        <v>240</v>
      </c>
      <c r="J36" s="15">
        <v>12</v>
      </c>
      <c r="K36" s="15">
        <v>-4</v>
      </c>
      <c r="L36" s="15">
        <f t="shared" si="3"/>
        <v>24</v>
      </c>
      <c r="M36" s="15">
        <v>300</v>
      </c>
      <c r="N36" s="15">
        <v>300</v>
      </c>
      <c r="O36" s="15">
        <v>1</v>
      </c>
      <c r="P36" s="15">
        <v>1</v>
      </c>
      <c r="Q36" s="15">
        <v>0</v>
      </c>
      <c r="R36" s="15">
        <v>0</v>
      </c>
      <c r="S36" s="15"/>
      <c r="T36" s="15"/>
      <c r="U36" s="15"/>
      <c r="V36" s="15"/>
      <c r="W36" s="15"/>
      <c r="X36" s="15">
        <v>1</v>
      </c>
      <c r="Y36" s="15">
        <v>1</v>
      </c>
      <c r="Z36" s="15">
        <v>0</v>
      </c>
      <c r="AA36" s="17">
        <v>1</v>
      </c>
      <c r="AB36" s="15">
        <v>0</v>
      </c>
      <c r="AC36" s="15">
        <v>0</v>
      </c>
      <c r="AD36" s="15">
        <v>0</v>
      </c>
      <c r="AE36" s="15">
        <v>0</v>
      </c>
      <c r="AG36" s="20">
        <v>32</v>
      </c>
      <c r="AH36" s="12">
        <v>-228658.94744626543</v>
      </c>
      <c r="AI36" s="16">
        <v>-63.516374290629287</v>
      </c>
      <c r="AJ36" s="14">
        <v>2.7872471623801598</v>
      </c>
      <c r="AK36" s="14">
        <v>3.7205804957134934</v>
      </c>
      <c r="AL36" s="14">
        <v>20.817345624362588</v>
      </c>
      <c r="AM36" s="12">
        <v>-228658.9662375568</v>
      </c>
      <c r="AN36" s="14">
        <v>-63.516379510432444</v>
      </c>
      <c r="AO36" s="14">
        <v>4.8335308103309194</v>
      </c>
      <c r="AP36" s="14">
        <v>3.9001974769975862</v>
      </c>
      <c r="AQ36" s="14">
        <v>14.697176511166697</v>
      </c>
      <c r="AR36" s="12">
        <v>3600</v>
      </c>
      <c r="AS36" s="12">
        <v>1200</v>
      </c>
      <c r="AT36" s="12">
        <v>1200</v>
      </c>
      <c r="AU36" s="12">
        <v>1200</v>
      </c>
      <c r="AV36" s="16">
        <v>0.90774926255965094</v>
      </c>
      <c r="AW36" s="16">
        <v>-0.79395471125663586</v>
      </c>
      <c r="AX36" s="14">
        <v>20.817345624362591</v>
      </c>
      <c r="AY36" s="14">
        <v>8.6878446348511318</v>
      </c>
      <c r="AZ36" s="14">
        <v>14.125229756567421</v>
      </c>
      <c r="BA36" s="14">
        <v>20.817346711821585</v>
      </c>
      <c r="BB36" s="12">
        <v>-119907.91079632852</v>
      </c>
      <c r="BC36" s="12">
        <v>-114751.0366499369</v>
      </c>
      <c r="BD36" s="12">
        <v>6000</v>
      </c>
      <c r="BE36" s="12">
        <v>-228658.94744626543</v>
      </c>
      <c r="BF36" s="12">
        <v>24980.814749235109</v>
      </c>
      <c r="BG36" s="12">
        <v>-144000</v>
      </c>
      <c r="BH36" s="12">
        <v>-109639.78098679191</v>
      </c>
      <c r="BI36" s="12">
        <v>-228658.9662375568</v>
      </c>
      <c r="BJ36" s="56"/>
      <c r="BK36" s="57"/>
      <c r="BL36" s="57"/>
      <c r="BM36" s="57"/>
      <c r="BN36" s="57"/>
    </row>
    <row r="37" spans="1:71" s="23" customFormat="1" ht="14.45" customHeight="1" x14ac:dyDescent="0.25">
      <c r="A37" s="11">
        <f t="shared" si="0"/>
        <v>33</v>
      </c>
      <c r="B37" s="11" t="s">
        <v>66</v>
      </c>
      <c r="C37" s="15">
        <v>0</v>
      </c>
      <c r="D37" s="15">
        <v>0</v>
      </c>
      <c r="E37" s="15">
        <v>5</v>
      </c>
      <c r="F37" s="15">
        <v>25</v>
      </c>
      <c r="G37" s="15">
        <f t="shared" ref="G37:H37" si="4">G36</f>
        <v>15</v>
      </c>
      <c r="H37" s="15">
        <f t="shared" si="4"/>
        <v>15</v>
      </c>
      <c r="I37" s="15">
        <v>240</v>
      </c>
      <c r="J37" s="15">
        <v>12</v>
      </c>
      <c r="K37" s="15">
        <v>-4</v>
      </c>
      <c r="L37" s="15">
        <f t="shared" si="3"/>
        <v>24</v>
      </c>
      <c r="M37" s="15">
        <v>300</v>
      </c>
      <c r="N37" s="15">
        <v>300</v>
      </c>
      <c r="O37" s="15">
        <v>1</v>
      </c>
      <c r="P37" s="15">
        <v>1</v>
      </c>
      <c r="Q37" s="15">
        <v>0</v>
      </c>
      <c r="R37" s="15">
        <v>0</v>
      </c>
      <c r="S37" s="15"/>
      <c r="T37" s="15"/>
      <c r="U37" s="15"/>
      <c r="V37" s="15"/>
      <c r="W37" s="15"/>
      <c r="X37" s="15">
        <v>1</v>
      </c>
      <c r="Y37" s="15">
        <v>1</v>
      </c>
      <c r="Z37" s="15">
        <v>0</v>
      </c>
      <c r="AA37" s="15">
        <v>0</v>
      </c>
      <c r="AB37" s="15">
        <v>0</v>
      </c>
      <c r="AC37" s="15">
        <v>0</v>
      </c>
      <c r="AD37" s="17">
        <v>1</v>
      </c>
      <c r="AE37" s="15">
        <v>0</v>
      </c>
      <c r="AG37" s="20">
        <v>33</v>
      </c>
      <c r="AH37" s="12">
        <v>-94054.364485428145</v>
      </c>
      <c r="AI37" s="16">
        <v>-26.126212357063373</v>
      </c>
      <c r="AJ37" s="14">
        <v>1.6697366805124332</v>
      </c>
      <c r="AK37" s="14">
        <v>1.6697366805124332</v>
      </c>
      <c r="AL37" s="14">
        <v>20.646905683982087</v>
      </c>
      <c r="AM37" s="12">
        <v>-94054.476923725844</v>
      </c>
      <c r="AN37" s="14">
        <v>-26.126243589923845</v>
      </c>
      <c r="AO37" s="14">
        <v>2.0871714898864662</v>
      </c>
      <c r="AP37" s="14">
        <v>2.0871714898864662</v>
      </c>
      <c r="AQ37" s="14">
        <v>12.482464322399782</v>
      </c>
      <c r="AR37" s="12">
        <v>3600</v>
      </c>
      <c r="AS37" s="12">
        <v>1200</v>
      </c>
      <c r="AT37" s="12">
        <v>1200</v>
      </c>
      <c r="AU37" s="12">
        <v>1200</v>
      </c>
      <c r="AV37" s="16">
        <v>1.0148945288043423</v>
      </c>
      <c r="AW37" s="16">
        <v>-0.4082223120858377</v>
      </c>
      <c r="AX37" s="14">
        <v>20.646905683982084</v>
      </c>
      <c r="AY37" s="14">
        <v>12.48246432239978</v>
      </c>
      <c r="AZ37" s="14">
        <v>12.48246432239978</v>
      </c>
      <c r="BA37" s="14">
        <v>20.646915444250983</v>
      </c>
      <c r="BB37" s="12">
        <v>0</v>
      </c>
      <c r="BC37" s="12">
        <v>-94054.364485428145</v>
      </c>
      <c r="BD37" s="12">
        <v>0</v>
      </c>
      <c r="BE37" s="12">
        <v>-94054.364485428145</v>
      </c>
      <c r="BF37" s="12">
        <v>0</v>
      </c>
      <c r="BG37" s="12">
        <v>0</v>
      </c>
      <c r="BH37" s="12">
        <v>-94054.476923725844</v>
      </c>
      <c r="BI37" s="12">
        <v>-94054.476923725844</v>
      </c>
      <c r="BJ37" s="56"/>
      <c r="BK37" s="57"/>
      <c r="BL37" s="57"/>
      <c r="BM37" s="57"/>
      <c r="BN37" s="57"/>
      <c r="BO37" s="58"/>
      <c r="BP37" s="61"/>
      <c r="BQ37" s="58"/>
      <c r="BR37" s="61"/>
      <c r="BS37" s="58"/>
    </row>
    <row r="38" spans="1:71" s="23" customFormat="1" ht="14.45" customHeight="1" x14ac:dyDescent="0.25">
      <c r="A38" s="11">
        <f t="shared" si="0"/>
        <v>34</v>
      </c>
      <c r="B38" s="11" t="s">
        <v>66</v>
      </c>
      <c r="C38" s="15">
        <v>0</v>
      </c>
      <c r="D38" s="15">
        <v>0</v>
      </c>
      <c r="E38" s="15">
        <v>5</v>
      </c>
      <c r="F38" s="15">
        <v>25</v>
      </c>
      <c r="G38" s="15">
        <f t="shared" ref="G38:H38" si="5">G37</f>
        <v>15</v>
      </c>
      <c r="H38" s="15">
        <f t="shared" si="5"/>
        <v>15</v>
      </c>
      <c r="I38" s="15">
        <v>240</v>
      </c>
      <c r="J38" s="15">
        <v>12</v>
      </c>
      <c r="K38" s="15">
        <v>-4</v>
      </c>
      <c r="L38" s="15">
        <f t="shared" si="3"/>
        <v>24</v>
      </c>
      <c r="M38" s="15">
        <v>300</v>
      </c>
      <c r="N38" s="15">
        <v>300</v>
      </c>
      <c r="O38" s="15">
        <v>1</v>
      </c>
      <c r="P38" s="15">
        <v>1</v>
      </c>
      <c r="Q38" s="15">
        <v>0</v>
      </c>
      <c r="R38" s="15">
        <v>0</v>
      </c>
      <c r="S38" s="15"/>
      <c r="T38" s="15"/>
      <c r="U38" s="15"/>
      <c r="V38" s="15"/>
      <c r="W38" s="15"/>
      <c r="X38" s="15">
        <v>1</v>
      </c>
      <c r="Y38" s="15">
        <v>1</v>
      </c>
      <c r="Z38" s="15">
        <v>0</v>
      </c>
      <c r="AA38" s="15">
        <v>0</v>
      </c>
      <c r="AB38" s="15">
        <v>0</v>
      </c>
      <c r="AC38" s="15">
        <v>0</v>
      </c>
      <c r="AD38" s="15">
        <v>0</v>
      </c>
      <c r="AE38" s="17">
        <v>1</v>
      </c>
      <c r="AG38" s="20">
        <v>34</v>
      </c>
      <c r="AH38" s="12">
        <v>-115357.22607831322</v>
      </c>
      <c r="AI38" s="16">
        <v>-32.043673910642561</v>
      </c>
      <c r="AJ38" s="14">
        <v>2.1968834127185719</v>
      </c>
      <c r="AK38" s="14">
        <v>2.1968834127185719</v>
      </c>
      <c r="AL38" s="14">
        <v>19.58596925313827</v>
      </c>
      <c r="AM38" s="12">
        <v>-115357.33324799301</v>
      </c>
      <c r="AN38" s="14">
        <v>-32.04370367999806</v>
      </c>
      <c r="AO38" s="14">
        <v>2.0770268816290511</v>
      </c>
      <c r="AP38" s="14">
        <v>2.0770268816290511</v>
      </c>
      <c r="AQ38" s="14">
        <v>9.5723211560624684</v>
      </c>
      <c r="AR38" s="12">
        <v>3600</v>
      </c>
      <c r="AS38" s="12">
        <v>1200</v>
      </c>
      <c r="AT38" s="12">
        <v>1200</v>
      </c>
      <c r="AU38" s="12">
        <v>1200</v>
      </c>
      <c r="AV38" s="16">
        <v>1.0148945288043423</v>
      </c>
      <c r="AW38" s="16">
        <v>-0.5006826374268798</v>
      </c>
      <c r="AX38" s="14">
        <v>19.58596925313827</v>
      </c>
      <c r="AY38" s="14">
        <v>9.5723211560624701</v>
      </c>
      <c r="AZ38" s="14">
        <v>9.5723211560624701</v>
      </c>
      <c r="BA38" s="14">
        <v>19.585978556061864</v>
      </c>
      <c r="BB38" s="12">
        <v>0</v>
      </c>
      <c r="BC38" s="12">
        <v>-115357.22607831322</v>
      </c>
      <c r="BD38" s="12">
        <v>0</v>
      </c>
      <c r="BE38" s="12">
        <v>-115357.22607831322</v>
      </c>
      <c r="BF38" s="12">
        <v>0</v>
      </c>
      <c r="BG38" s="12">
        <v>0</v>
      </c>
      <c r="BH38" s="12">
        <v>-115357.33324799301</v>
      </c>
      <c r="BI38" s="12">
        <v>-115357.33324799301</v>
      </c>
      <c r="BJ38" s="56"/>
      <c r="BK38" s="57"/>
      <c r="BL38" s="57"/>
      <c r="BM38" s="57"/>
      <c r="BN38" s="57"/>
      <c r="BO38" s="58"/>
      <c r="BP38" s="61"/>
      <c r="BQ38" s="58"/>
      <c r="BR38" s="61"/>
      <c r="BS38" s="58"/>
    </row>
    <row r="39" spans="1:71" s="23" customFormat="1" ht="14.45" customHeight="1" x14ac:dyDescent="0.25">
      <c r="A39" s="11">
        <f t="shared" si="0"/>
        <v>35</v>
      </c>
      <c r="B39" s="11" t="s">
        <v>66</v>
      </c>
      <c r="C39" s="15">
        <v>0</v>
      </c>
      <c r="D39" s="15">
        <v>0</v>
      </c>
      <c r="E39" s="15">
        <v>5</v>
      </c>
      <c r="F39" s="15">
        <v>25</v>
      </c>
      <c r="G39" s="15">
        <f t="shared" ref="G39:H39" si="6">G38</f>
        <v>15</v>
      </c>
      <c r="H39" s="15">
        <f t="shared" si="6"/>
        <v>15</v>
      </c>
      <c r="I39" s="15">
        <v>240</v>
      </c>
      <c r="J39" s="15">
        <v>12</v>
      </c>
      <c r="K39" s="15">
        <v>-4</v>
      </c>
      <c r="L39" s="15">
        <f t="shared" si="3"/>
        <v>24</v>
      </c>
      <c r="M39" s="15">
        <v>300</v>
      </c>
      <c r="N39" s="15">
        <v>300</v>
      </c>
      <c r="O39" s="15">
        <v>1</v>
      </c>
      <c r="P39" s="15">
        <v>1</v>
      </c>
      <c r="Q39" s="15">
        <v>0</v>
      </c>
      <c r="R39" s="15">
        <v>0</v>
      </c>
      <c r="S39" s="15"/>
      <c r="T39" s="15"/>
      <c r="U39" s="15"/>
      <c r="V39" s="15"/>
      <c r="W39" s="15"/>
      <c r="X39" s="17">
        <v>0.25</v>
      </c>
      <c r="Y39" s="17">
        <v>0.25</v>
      </c>
      <c r="Z39" s="15">
        <v>0</v>
      </c>
      <c r="AA39" s="15">
        <v>0</v>
      </c>
      <c r="AB39" s="17">
        <v>4</v>
      </c>
      <c r="AC39" s="15">
        <v>0</v>
      </c>
      <c r="AD39" s="15">
        <v>0</v>
      </c>
      <c r="AE39" s="15">
        <v>0</v>
      </c>
      <c r="AG39" s="20">
        <v>35</v>
      </c>
      <c r="AH39" s="12">
        <v>-23282.488477496707</v>
      </c>
      <c r="AI39" s="16">
        <v>-6.4673579104157515</v>
      </c>
      <c r="AJ39" s="14">
        <v>0.59268916909757186</v>
      </c>
      <c r="AK39" s="14">
        <v>0.59268916909757186</v>
      </c>
      <c r="AL39" s="14">
        <v>15.911888132295292</v>
      </c>
      <c r="AM39" s="12">
        <v>-23283.798033401814</v>
      </c>
      <c r="AN39" s="14">
        <v>-6.4677216759449481</v>
      </c>
      <c r="AO39" s="14">
        <v>0.58219712100145249</v>
      </c>
      <c r="AP39" s="14">
        <v>0.58219712100145249</v>
      </c>
      <c r="AQ39" s="14">
        <v>13.890838785290367</v>
      </c>
      <c r="AR39" s="12">
        <v>3600</v>
      </c>
      <c r="AS39" s="12">
        <v>1200</v>
      </c>
      <c r="AT39" s="12">
        <v>1200</v>
      </c>
      <c r="AU39" s="12">
        <v>1200</v>
      </c>
      <c r="AV39" s="16">
        <v>1.0148945288043423</v>
      </c>
      <c r="AW39" s="16">
        <v>-0.10105530926844297</v>
      </c>
      <c r="AX39" s="14">
        <v>15.911888132295291</v>
      </c>
      <c r="AY39" s="14">
        <v>13.890838785290367</v>
      </c>
      <c r="AZ39" s="14">
        <v>13.890838785290367</v>
      </c>
      <c r="BA39" s="14">
        <v>15.912001809023163</v>
      </c>
      <c r="BB39" s="12">
        <v>0</v>
      </c>
      <c r="BC39" s="12">
        <v>-23282.488477496707</v>
      </c>
      <c r="BD39" s="12">
        <v>0</v>
      </c>
      <c r="BE39" s="12">
        <v>-23282.488477496707</v>
      </c>
      <c r="BF39" s="12">
        <v>0</v>
      </c>
      <c r="BG39" s="12">
        <v>0</v>
      </c>
      <c r="BH39" s="12">
        <v>-23283.798033401814</v>
      </c>
      <c r="BI39" s="12">
        <v>-23283.798033401814</v>
      </c>
      <c r="BJ39" s="56"/>
      <c r="BK39" s="57"/>
      <c r="BL39" s="57"/>
      <c r="BM39" s="57"/>
      <c r="BN39" s="57"/>
      <c r="BO39" s="58"/>
      <c r="BP39" s="61"/>
      <c r="BQ39" s="58"/>
      <c r="BR39" s="61"/>
      <c r="BS39" s="58"/>
    </row>
    <row r="40" spans="1:71" s="23" customFormat="1" ht="14.45" customHeight="1" x14ac:dyDescent="0.25">
      <c r="A40" s="11">
        <f t="shared" si="0"/>
        <v>36</v>
      </c>
      <c r="B40" s="11" t="s">
        <v>66</v>
      </c>
      <c r="C40" s="15">
        <v>0</v>
      </c>
      <c r="D40" s="15">
        <v>0</v>
      </c>
      <c r="E40" s="15">
        <v>5</v>
      </c>
      <c r="F40" s="15">
        <v>25</v>
      </c>
      <c r="G40" s="15">
        <f t="shared" ref="G40:H40" si="7">G39</f>
        <v>15</v>
      </c>
      <c r="H40" s="15">
        <f t="shared" si="7"/>
        <v>15</v>
      </c>
      <c r="I40" s="15">
        <v>240</v>
      </c>
      <c r="J40" s="15">
        <v>12</v>
      </c>
      <c r="K40" s="15">
        <v>-4</v>
      </c>
      <c r="L40" s="15">
        <f t="shared" si="3"/>
        <v>24</v>
      </c>
      <c r="M40" s="15">
        <v>300</v>
      </c>
      <c r="N40" s="15">
        <v>300</v>
      </c>
      <c r="O40" s="15">
        <v>1</v>
      </c>
      <c r="P40" s="15">
        <v>1</v>
      </c>
      <c r="Q40" s="15">
        <v>0</v>
      </c>
      <c r="R40" s="15">
        <v>0</v>
      </c>
      <c r="S40" s="15"/>
      <c r="T40" s="15"/>
      <c r="U40" s="15"/>
      <c r="V40" s="15"/>
      <c r="W40" s="15"/>
      <c r="X40" s="17">
        <v>0.25</v>
      </c>
      <c r="Y40" s="17">
        <v>0.25</v>
      </c>
      <c r="Z40" s="15">
        <v>0</v>
      </c>
      <c r="AA40" s="15">
        <v>0</v>
      </c>
      <c r="AB40" s="15">
        <v>0</v>
      </c>
      <c r="AC40" s="17">
        <v>4</v>
      </c>
      <c r="AD40" s="15">
        <v>0</v>
      </c>
      <c r="AE40" s="15">
        <v>0</v>
      </c>
      <c r="AG40" s="20">
        <v>36</v>
      </c>
      <c r="AH40" s="12">
        <v>-23282.330060735574</v>
      </c>
      <c r="AI40" s="16">
        <v>-6.4673139057598821</v>
      </c>
      <c r="AJ40" s="14">
        <v>0.58218509162375487</v>
      </c>
      <c r="AK40" s="14">
        <v>0.58218509162375487</v>
      </c>
      <c r="AL40" s="14">
        <v>16.108690344031469</v>
      </c>
      <c r="AM40" s="12">
        <v>-23283.923502633159</v>
      </c>
      <c r="AN40" s="14">
        <v>-6.4677565285092111</v>
      </c>
      <c r="AO40" s="14">
        <v>0.59270087038431984</v>
      </c>
      <c r="AP40" s="14">
        <v>0.59270087038431984</v>
      </c>
      <c r="AQ40" s="14">
        <v>14.087654748481507</v>
      </c>
      <c r="AR40" s="12">
        <v>3600</v>
      </c>
      <c r="AS40" s="12">
        <v>1200</v>
      </c>
      <c r="AT40" s="12">
        <v>1200</v>
      </c>
      <c r="AU40" s="12">
        <v>1200</v>
      </c>
      <c r="AV40" s="16">
        <v>1.0148945288043423</v>
      </c>
      <c r="AW40" s="16">
        <v>-0.10105523776772729</v>
      </c>
      <c r="AX40" s="14">
        <v>16.108690344031469</v>
      </c>
      <c r="AY40" s="14">
        <v>14.087654748481507</v>
      </c>
      <c r="AZ40" s="14">
        <v>14.087654748481507</v>
      </c>
      <c r="BA40" s="14">
        <v>16.108828663640633</v>
      </c>
      <c r="BB40" s="12">
        <v>0</v>
      </c>
      <c r="BC40" s="12">
        <v>-23282.330060735574</v>
      </c>
      <c r="BD40" s="12">
        <v>0</v>
      </c>
      <c r="BE40" s="12">
        <v>-23282.330060735574</v>
      </c>
      <c r="BF40" s="12">
        <v>0</v>
      </c>
      <c r="BG40" s="12">
        <v>0</v>
      </c>
      <c r="BH40" s="12">
        <v>-23283.923502633159</v>
      </c>
      <c r="BI40" s="12">
        <v>-23283.923502633159</v>
      </c>
      <c r="BJ40" s="56"/>
      <c r="BK40" s="57"/>
      <c r="BL40" s="57"/>
      <c r="BM40" s="57"/>
      <c r="BN40" s="57"/>
      <c r="BO40" s="58"/>
      <c r="BP40" s="61"/>
      <c r="BQ40" s="58"/>
      <c r="BR40" s="61"/>
      <c r="BS40" s="58"/>
    </row>
  </sheetData>
  <dataConsolidate/>
  <mergeCells count="13">
    <mergeCell ref="BV1:BY1"/>
    <mergeCell ref="V1:W1"/>
    <mergeCell ref="C1:H1"/>
    <mergeCell ref="AX1:BA1"/>
    <mergeCell ref="BB1:BI1"/>
    <mergeCell ref="AH1:AQ1"/>
    <mergeCell ref="AR1:AU1"/>
    <mergeCell ref="AV1:AW1"/>
    <mergeCell ref="I1:K1"/>
    <mergeCell ref="L1:R1"/>
    <mergeCell ref="X1:AE1"/>
    <mergeCell ref="S1:U1"/>
    <mergeCell ref="BJ1:BU1"/>
  </mergeCells>
  <dataValidations count="1">
    <dataValidation type="list" allowBlank="1" showInputMessage="1" showErrorMessage="1" sqref="B4:B1048576" xr:uid="{2F61A02E-62FE-4D74-A71C-9ED926FBDF65}">
      <formula1>"Steady,0,1,2,3,4,Flush"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Fill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029F2-FBD5-480D-8AC7-8F6817AE38A8}">
  <sheetPr codeName="Sheet2">
    <pageSetUpPr fitToPage="1"/>
  </sheetPr>
  <dimension ref="A1:BY38"/>
  <sheetViews>
    <sheetView tabSelected="1" zoomScale="85" zoomScaleNormal="85" workbookViewId="0">
      <pane xSplit="1" ySplit="3" topLeftCell="B4" activePane="bottomRight" state="frozen"/>
      <selection activeCell="AV25" sqref="AV25"/>
      <selection pane="topRight" activeCell="AV25" sqref="AV25"/>
      <selection pane="bottomLeft" activeCell="AV25" sqref="AV25"/>
      <selection pane="bottomRight" activeCell="K46" sqref="K46"/>
    </sheetView>
  </sheetViews>
  <sheetFormatPr defaultColWidth="8.7109375" defaultRowHeight="15" x14ac:dyDescent="0.25"/>
  <cols>
    <col min="1" max="1" width="18.7109375" style="21" customWidth="1"/>
    <col min="2" max="2" width="10.140625" style="21" customWidth="1"/>
    <col min="3" max="6" width="8.7109375" style="21"/>
    <col min="7" max="7" width="8.7109375" style="23"/>
    <col min="8" max="19" width="8.7109375" style="21"/>
    <col min="20" max="20" width="8.7109375" style="23"/>
    <col min="21" max="21" width="9.7109375" style="21" bestFit="1" customWidth="1"/>
    <col min="22" max="24" width="8.7109375" style="21"/>
    <col min="25" max="25" width="8.7109375" style="21" customWidth="1"/>
    <col min="26" max="26" width="8.7109375" style="21"/>
    <col min="27" max="30" width="8.7109375" style="23"/>
    <col min="31" max="31" width="8.7109375" style="21"/>
    <col min="32" max="32" width="6" style="21" customWidth="1"/>
    <col min="33" max="33" width="8.7109375" style="22" customWidth="1"/>
    <col min="34" max="34" width="10.7109375" style="22" hidden="1" customWidth="1"/>
    <col min="35" max="38" width="8.7109375" style="22" hidden="1" customWidth="1"/>
    <col min="39" max="39" width="10.7109375" style="22" hidden="1" customWidth="1"/>
    <col min="40" max="47" width="8.7109375" style="22" hidden="1" customWidth="1"/>
    <col min="48" max="48" width="9.28515625" style="22" hidden="1" customWidth="1"/>
    <col min="49" max="49" width="11.5703125" style="22" hidden="1" customWidth="1"/>
    <col min="50" max="50" width="8.7109375" style="21" hidden="1" customWidth="1"/>
    <col min="51" max="53" width="8.7109375" style="22" hidden="1" customWidth="1"/>
    <col min="54" max="54" width="9.5703125" style="22" hidden="1" customWidth="1"/>
    <col min="55" max="55" width="10.28515625" style="22" hidden="1" customWidth="1"/>
    <col min="56" max="56" width="8.7109375" style="22" hidden="1" customWidth="1"/>
    <col min="57" max="57" width="12.7109375" style="22" hidden="1" customWidth="1"/>
    <col min="58" max="58" width="8.7109375" style="22" hidden="1" customWidth="1"/>
    <col min="59" max="59" width="12.28515625" style="22" hidden="1" customWidth="1"/>
    <col min="60" max="61" width="12.7109375" style="22" hidden="1" customWidth="1"/>
    <col min="62" max="62" width="12.7109375" style="59" customWidth="1"/>
    <col min="63" max="72" width="12.7109375" style="60" customWidth="1"/>
    <col min="73" max="73" width="12.7109375" style="58" customWidth="1"/>
    <col min="74" max="74" width="8.85546875" style="61" bestFit="1" customWidth="1"/>
    <col min="75" max="75" width="11.42578125" style="58" bestFit="1" customWidth="1"/>
    <col min="76" max="76" width="8.7109375" style="61"/>
    <col min="77" max="77" width="8.7109375" style="58"/>
    <col min="78" max="16384" width="8.7109375" style="21"/>
  </cols>
  <sheetData>
    <row r="1" spans="1:77" ht="14.45" customHeight="1" x14ac:dyDescent="0.25">
      <c r="A1" s="1"/>
      <c r="B1" s="1"/>
      <c r="C1" s="77" t="s">
        <v>0</v>
      </c>
      <c r="D1" s="78"/>
      <c r="E1" s="78"/>
      <c r="F1" s="78"/>
      <c r="G1" s="78"/>
      <c r="H1" s="78"/>
      <c r="I1" s="77" t="s">
        <v>1</v>
      </c>
      <c r="J1" s="78"/>
      <c r="K1" s="78"/>
      <c r="L1" s="81" t="s">
        <v>2</v>
      </c>
      <c r="M1" s="78"/>
      <c r="N1" s="78"/>
      <c r="O1" s="78"/>
      <c r="P1" s="78"/>
      <c r="Q1" s="78"/>
      <c r="R1" s="78"/>
      <c r="S1" s="83" t="s">
        <v>67</v>
      </c>
      <c r="T1" s="83"/>
      <c r="U1" s="76"/>
      <c r="V1" s="75" t="s">
        <v>75</v>
      </c>
      <c r="W1" s="76"/>
      <c r="X1" s="82" t="s">
        <v>3</v>
      </c>
      <c r="Y1" s="78"/>
      <c r="Z1" s="78"/>
      <c r="AA1" s="78"/>
      <c r="AB1" s="78"/>
      <c r="AC1" s="78"/>
      <c r="AD1" s="78"/>
      <c r="AE1" s="78"/>
      <c r="AF1" s="23"/>
      <c r="AG1" s="2"/>
      <c r="AH1" s="77" t="s">
        <v>4</v>
      </c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0"/>
      <c r="AT1" s="80"/>
      <c r="AU1" s="80"/>
      <c r="AV1" s="77" t="s">
        <v>5</v>
      </c>
      <c r="AW1" s="80"/>
      <c r="AX1" s="79" t="s">
        <v>6</v>
      </c>
      <c r="AY1" s="80"/>
      <c r="AZ1" s="80"/>
      <c r="BA1" s="80"/>
      <c r="BB1" s="79" t="s">
        <v>7</v>
      </c>
      <c r="BC1" s="80"/>
      <c r="BD1" s="80"/>
      <c r="BE1" s="80"/>
      <c r="BF1" s="80"/>
      <c r="BG1" s="80"/>
      <c r="BH1" s="80"/>
      <c r="BI1" s="80"/>
      <c r="BJ1" s="75" t="s">
        <v>78</v>
      </c>
      <c r="BK1" s="83"/>
      <c r="BL1" s="83"/>
      <c r="BM1" s="83"/>
      <c r="BN1" s="83"/>
      <c r="BO1" s="83"/>
      <c r="BP1" s="83"/>
      <c r="BQ1" s="83"/>
      <c r="BR1" s="83"/>
      <c r="BS1" s="83"/>
      <c r="BT1" s="83"/>
      <c r="BU1" s="76"/>
      <c r="BV1" s="73" t="s">
        <v>70</v>
      </c>
      <c r="BW1" s="74"/>
      <c r="BX1" s="74"/>
      <c r="BY1" s="74"/>
    </row>
    <row r="2" spans="1:77" ht="35.25" x14ac:dyDescent="0.25">
      <c r="A2" s="1"/>
      <c r="B2" s="38"/>
      <c r="C2" s="43" t="s">
        <v>8</v>
      </c>
      <c r="D2" s="44" t="s">
        <v>8</v>
      </c>
      <c r="E2" s="44" t="s">
        <v>9</v>
      </c>
      <c r="F2" s="44" t="s">
        <v>9</v>
      </c>
      <c r="G2" s="44" t="s">
        <v>10</v>
      </c>
      <c r="H2" s="44" t="s">
        <v>10</v>
      </c>
      <c r="I2" s="45" t="s">
        <v>11</v>
      </c>
      <c r="J2" s="44" t="s">
        <v>11</v>
      </c>
      <c r="K2" s="46" t="s">
        <v>8</v>
      </c>
      <c r="L2" s="52" t="s">
        <v>12</v>
      </c>
      <c r="M2" s="51" t="s">
        <v>68</v>
      </c>
      <c r="N2" s="44" t="s">
        <v>68</v>
      </c>
      <c r="O2" s="52" t="s">
        <v>12</v>
      </c>
      <c r="P2" s="52" t="s">
        <v>12</v>
      </c>
      <c r="Q2" s="47" t="s">
        <v>14</v>
      </c>
      <c r="R2" s="48" t="s">
        <v>14</v>
      </c>
      <c r="S2" s="39" t="s">
        <v>69</v>
      </c>
      <c r="T2" s="39" t="s">
        <v>68</v>
      </c>
      <c r="U2" s="87" t="s">
        <v>68</v>
      </c>
      <c r="V2" s="40" t="s">
        <v>9</v>
      </c>
      <c r="W2" s="40" t="s">
        <v>8</v>
      </c>
      <c r="X2" s="49" t="s">
        <v>12</v>
      </c>
      <c r="Y2" s="50" t="s">
        <v>12</v>
      </c>
      <c r="Z2" s="44" t="s">
        <v>15</v>
      </c>
      <c r="AA2" s="44" t="s">
        <v>15</v>
      </c>
      <c r="AB2" s="44" t="s">
        <v>11</v>
      </c>
      <c r="AC2" s="44" t="s">
        <v>11</v>
      </c>
      <c r="AD2" s="44" t="s">
        <v>11</v>
      </c>
      <c r="AE2" s="46" t="s">
        <v>11</v>
      </c>
      <c r="AF2" s="23"/>
      <c r="AG2" s="3"/>
      <c r="AH2" s="53" t="s">
        <v>16</v>
      </c>
      <c r="AI2" s="53" t="s">
        <v>17</v>
      </c>
      <c r="AJ2" s="53" t="s">
        <v>15</v>
      </c>
      <c r="AK2" s="53" t="s">
        <v>15</v>
      </c>
      <c r="AL2" s="53" t="s">
        <v>9</v>
      </c>
      <c r="AM2" s="53" t="s">
        <v>16</v>
      </c>
      <c r="AN2" s="53" t="s">
        <v>17</v>
      </c>
      <c r="AO2" s="53" t="s">
        <v>15</v>
      </c>
      <c r="AP2" s="53" t="s">
        <v>15</v>
      </c>
      <c r="AQ2" s="53" t="s">
        <v>9</v>
      </c>
      <c r="AR2" s="53" t="s">
        <v>13</v>
      </c>
      <c r="AS2" s="53" t="s">
        <v>13</v>
      </c>
      <c r="AT2" s="53" t="s">
        <v>13</v>
      </c>
      <c r="AU2" s="53" t="s">
        <v>13</v>
      </c>
      <c r="AV2" s="53" t="s">
        <v>13</v>
      </c>
      <c r="AW2" s="53" t="s">
        <v>12</v>
      </c>
      <c r="AX2" s="54" t="s">
        <v>9</v>
      </c>
      <c r="AY2" s="53" t="s">
        <v>9</v>
      </c>
      <c r="AZ2" s="53" t="s">
        <v>9</v>
      </c>
      <c r="BA2" s="53" t="s">
        <v>9</v>
      </c>
      <c r="BB2" s="53" t="s">
        <v>16</v>
      </c>
      <c r="BC2" s="53" t="s">
        <v>16</v>
      </c>
      <c r="BD2" s="53" t="s">
        <v>16</v>
      </c>
      <c r="BE2" s="53" t="s">
        <v>16</v>
      </c>
      <c r="BF2" s="53" t="s">
        <v>16</v>
      </c>
      <c r="BG2" s="53" t="s">
        <v>16</v>
      </c>
      <c r="BH2" s="53" t="s">
        <v>16</v>
      </c>
      <c r="BI2" s="55" t="s">
        <v>16</v>
      </c>
      <c r="BJ2" s="41" t="s">
        <v>16</v>
      </c>
      <c r="BK2" s="42" t="s">
        <v>14</v>
      </c>
      <c r="BL2" s="42" t="s">
        <v>14</v>
      </c>
      <c r="BM2" s="67" t="s">
        <v>15</v>
      </c>
      <c r="BN2" s="67" t="s">
        <v>15</v>
      </c>
      <c r="BO2" s="67" t="s">
        <v>9</v>
      </c>
      <c r="BP2" s="42" t="s">
        <v>16</v>
      </c>
      <c r="BQ2" s="42" t="s">
        <v>14</v>
      </c>
      <c r="BR2" s="67" t="s">
        <v>14</v>
      </c>
      <c r="BS2" s="67" t="s">
        <v>15</v>
      </c>
      <c r="BT2" s="67" t="s">
        <v>15</v>
      </c>
      <c r="BU2" s="42" t="s">
        <v>9</v>
      </c>
      <c r="BV2" s="42"/>
      <c r="BW2" s="42"/>
      <c r="BX2" s="42"/>
      <c r="BY2" s="42"/>
    </row>
    <row r="3" spans="1:77" ht="157.5" customHeight="1" x14ac:dyDescent="0.25">
      <c r="A3" s="5" t="s">
        <v>18</v>
      </c>
      <c r="B3" s="6" t="s">
        <v>65</v>
      </c>
      <c r="C3" s="32" t="s">
        <v>19</v>
      </c>
      <c r="D3" s="33" t="s">
        <v>20</v>
      </c>
      <c r="E3" s="33" t="s">
        <v>21</v>
      </c>
      <c r="F3" s="33" t="s">
        <v>22</v>
      </c>
      <c r="G3" s="33" t="s">
        <v>83</v>
      </c>
      <c r="H3" s="33" t="s">
        <v>84</v>
      </c>
      <c r="I3" s="34" t="s">
        <v>23</v>
      </c>
      <c r="J3" s="33" t="s">
        <v>24</v>
      </c>
      <c r="K3" s="35" t="s">
        <v>25</v>
      </c>
      <c r="L3" s="33" t="s">
        <v>26</v>
      </c>
      <c r="M3" s="7" t="s">
        <v>27</v>
      </c>
      <c r="N3" s="7" t="s">
        <v>28</v>
      </c>
      <c r="O3" s="7" t="s">
        <v>29</v>
      </c>
      <c r="P3" s="7" t="s">
        <v>30</v>
      </c>
      <c r="Q3" s="9" t="s">
        <v>31</v>
      </c>
      <c r="R3" s="9" t="s">
        <v>32</v>
      </c>
      <c r="S3" s="25" t="s">
        <v>49</v>
      </c>
      <c r="T3" s="85" t="s">
        <v>50</v>
      </c>
      <c r="U3" s="86" t="s">
        <v>91</v>
      </c>
      <c r="V3" s="26" t="s">
        <v>77</v>
      </c>
      <c r="W3" s="71" t="s">
        <v>76</v>
      </c>
      <c r="X3" s="70" t="s">
        <v>33</v>
      </c>
      <c r="Y3" s="69" t="s">
        <v>34</v>
      </c>
      <c r="Z3" s="7" t="s">
        <v>35</v>
      </c>
      <c r="AA3" s="7" t="s">
        <v>36</v>
      </c>
      <c r="AB3" s="33" t="s">
        <v>88</v>
      </c>
      <c r="AC3" s="33" t="s">
        <v>89</v>
      </c>
      <c r="AD3" s="7" t="s">
        <v>86</v>
      </c>
      <c r="AE3" s="72" t="s">
        <v>87</v>
      </c>
      <c r="AF3" s="8"/>
      <c r="AG3" s="4" t="s">
        <v>18</v>
      </c>
      <c r="AH3" s="4" t="s">
        <v>37</v>
      </c>
      <c r="AI3" s="4" t="s">
        <v>38</v>
      </c>
      <c r="AJ3" s="4" t="s">
        <v>39</v>
      </c>
      <c r="AK3" s="4" t="s">
        <v>40</v>
      </c>
      <c r="AL3" s="4" t="s">
        <v>41</v>
      </c>
      <c r="AM3" s="4" t="s">
        <v>42</v>
      </c>
      <c r="AN3" s="4" t="s">
        <v>43</v>
      </c>
      <c r="AO3" s="4" t="s">
        <v>44</v>
      </c>
      <c r="AP3" s="4" t="s">
        <v>45</v>
      </c>
      <c r="AQ3" s="4" t="s">
        <v>46</v>
      </c>
      <c r="AR3" s="4" t="s">
        <v>47</v>
      </c>
      <c r="AS3" s="4" t="s">
        <v>48</v>
      </c>
      <c r="AT3" s="4" t="s">
        <v>49</v>
      </c>
      <c r="AU3" s="4" t="s">
        <v>50</v>
      </c>
      <c r="AV3" s="4" t="s">
        <v>51</v>
      </c>
      <c r="AW3" s="4" t="s">
        <v>52</v>
      </c>
      <c r="AX3" s="5" t="s">
        <v>53</v>
      </c>
      <c r="AY3" s="5" t="s">
        <v>54</v>
      </c>
      <c r="AZ3" s="5" t="s">
        <v>55</v>
      </c>
      <c r="BA3" s="5" t="s">
        <v>56</v>
      </c>
      <c r="BB3" s="4" t="s">
        <v>57</v>
      </c>
      <c r="BC3" s="4" t="s">
        <v>58</v>
      </c>
      <c r="BD3" s="4" t="s">
        <v>59</v>
      </c>
      <c r="BE3" s="4" t="s">
        <v>60</v>
      </c>
      <c r="BF3" s="4" t="s">
        <v>61</v>
      </c>
      <c r="BG3" s="4" t="s">
        <v>62</v>
      </c>
      <c r="BH3" s="4" t="s">
        <v>63</v>
      </c>
      <c r="BI3" s="28" t="s">
        <v>64</v>
      </c>
      <c r="BJ3" s="29" t="s">
        <v>37</v>
      </c>
      <c r="BK3" s="4" t="s">
        <v>80</v>
      </c>
      <c r="BL3" s="4" t="s">
        <v>79</v>
      </c>
      <c r="BM3" s="68" t="s">
        <v>39</v>
      </c>
      <c r="BN3" s="68" t="s">
        <v>85</v>
      </c>
      <c r="BO3" s="68" t="s">
        <v>41</v>
      </c>
      <c r="BP3" s="4" t="s">
        <v>42</v>
      </c>
      <c r="BQ3" s="4" t="s">
        <v>81</v>
      </c>
      <c r="BR3" s="68" t="s">
        <v>82</v>
      </c>
      <c r="BS3" s="68" t="s">
        <v>44</v>
      </c>
      <c r="BT3" s="68" t="s">
        <v>45</v>
      </c>
      <c r="BU3" s="4" t="s">
        <v>46</v>
      </c>
      <c r="BV3" s="4" t="s">
        <v>71</v>
      </c>
      <c r="BW3" s="62" t="s">
        <v>72</v>
      </c>
      <c r="BX3" s="63" t="s">
        <v>73</v>
      </c>
      <c r="BY3" s="62" t="s">
        <v>74</v>
      </c>
    </row>
    <row r="4" spans="1:77" ht="14.45" customHeight="1" x14ac:dyDescent="0.25">
      <c r="A4" s="11">
        <v>0</v>
      </c>
      <c r="B4" s="11">
        <v>0</v>
      </c>
      <c r="C4" s="36">
        <v>0</v>
      </c>
      <c r="D4" s="37">
        <v>4</v>
      </c>
      <c r="E4" s="36">
        <v>5</v>
      </c>
      <c r="F4" s="36">
        <v>25</v>
      </c>
      <c r="G4" s="36">
        <v>15</v>
      </c>
      <c r="H4" s="36">
        <v>15</v>
      </c>
      <c r="I4" s="36">
        <v>240</v>
      </c>
      <c r="J4" s="36">
        <v>12</v>
      </c>
      <c r="K4" s="36">
        <v>-4</v>
      </c>
      <c r="L4" s="15"/>
      <c r="M4" s="15"/>
      <c r="N4" s="15"/>
      <c r="O4" s="15"/>
      <c r="P4" s="15"/>
      <c r="Q4" s="31">
        <v>0</v>
      </c>
      <c r="R4" s="31">
        <v>0</v>
      </c>
      <c r="S4" s="15"/>
      <c r="T4" s="15"/>
      <c r="U4" s="15"/>
      <c r="V4" s="15">
        <v>15</v>
      </c>
      <c r="W4" s="15">
        <v>2</v>
      </c>
      <c r="X4" s="15">
        <v>1</v>
      </c>
      <c r="Y4" s="15">
        <v>1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G4" s="20">
        <v>0</v>
      </c>
      <c r="AH4" s="12"/>
      <c r="AI4" s="13"/>
      <c r="AJ4" s="14"/>
      <c r="AK4" s="14"/>
      <c r="AL4" s="14"/>
      <c r="AM4" s="12"/>
      <c r="AN4" s="14"/>
      <c r="AO4" s="14"/>
      <c r="AP4" s="14"/>
      <c r="AQ4" s="14"/>
      <c r="AR4" s="12"/>
      <c r="AS4" s="12"/>
      <c r="AT4" s="12"/>
      <c r="AU4" s="12"/>
      <c r="AV4" s="16"/>
      <c r="AW4" s="16"/>
      <c r="AX4" s="14"/>
      <c r="AY4" s="14"/>
      <c r="AZ4" s="14"/>
      <c r="BA4" s="14"/>
      <c r="BB4" s="12"/>
      <c r="BC4" s="12"/>
      <c r="BD4" s="12"/>
      <c r="BE4" s="12"/>
      <c r="BF4" s="12"/>
      <c r="BG4" s="12"/>
      <c r="BH4" s="12"/>
      <c r="BI4" s="12"/>
      <c r="BJ4" s="56"/>
      <c r="BK4" s="57"/>
      <c r="BL4" s="57"/>
      <c r="BM4" s="57"/>
      <c r="BN4" s="57"/>
      <c r="BO4" s="57"/>
      <c r="BP4" s="57"/>
      <c r="BQ4" s="57"/>
      <c r="BR4" s="57"/>
      <c r="BS4" s="57"/>
      <c r="BT4" s="57"/>
      <c r="BV4" s="61">
        <v>15</v>
      </c>
      <c r="BW4" s="58">
        <v>259200</v>
      </c>
      <c r="BX4" s="61">
        <v>2</v>
      </c>
      <c r="BY4" s="58">
        <v>0</v>
      </c>
    </row>
    <row r="5" spans="1:77" ht="14.45" customHeight="1" x14ac:dyDescent="0.25">
      <c r="A5" s="11">
        <f t="shared" ref="A5:A38" si="0">A4+1</f>
        <v>1</v>
      </c>
      <c r="B5" s="11">
        <v>1</v>
      </c>
      <c r="C5" s="31">
        <v>0</v>
      </c>
      <c r="D5" s="37">
        <v>4</v>
      </c>
      <c r="E5" s="31">
        <v>5</v>
      </c>
      <c r="F5" s="31">
        <v>25</v>
      </c>
      <c r="G5" s="31">
        <v>15</v>
      </c>
      <c r="H5" s="31">
        <v>15</v>
      </c>
      <c r="I5" s="31">
        <v>240</v>
      </c>
      <c r="J5" s="31">
        <v>12</v>
      </c>
      <c r="K5" s="31">
        <v>-4</v>
      </c>
      <c r="L5" s="15"/>
      <c r="M5" s="15"/>
      <c r="N5" s="15">
        <v>300</v>
      </c>
      <c r="O5" s="15"/>
      <c r="P5" s="15"/>
      <c r="Q5" s="31">
        <v>0</v>
      </c>
      <c r="R5" s="31">
        <v>0</v>
      </c>
      <c r="S5" s="15">
        <v>1200</v>
      </c>
      <c r="T5" s="15">
        <v>1200</v>
      </c>
      <c r="U5" s="15"/>
      <c r="V5" s="15"/>
      <c r="W5" s="15"/>
      <c r="X5" s="30">
        <v>1</v>
      </c>
      <c r="Y5" s="30">
        <v>1</v>
      </c>
      <c r="Z5" s="30">
        <v>0</v>
      </c>
      <c r="AA5" s="30">
        <v>0</v>
      </c>
      <c r="AB5" s="15">
        <v>0</v>
      </c>
      <c r="AC5" s="15">
        <v>0</v>
      </c>
      <c r="AD5" s="30">
        <v>0</v>
      </c>
      <c r="AE5" s="30">
        <v>0</v>
      </c>
      <c r="AG5" s="20">
        <v>1</v>
      </c>
      <c r="AH5" s="12"/>
      <c r="AI5" s="13"/>
      <c r="AJ5" s="14"/>
      <c r="AK5" s="14"/>
      <c r="AL5" s="14"/>
      <c r="AM5" s="12"/>
      <c r="AN5" s="14"/>
      <c r="AO5" s="14"/>
      <c r="AP5" s="14"/>
      <c r="AQ5" s="14"/>
      <c r="AR5" s="12"/>
      <c r="AS5" s="12"/>
      <c r="AT5" s="12"/>
      <c r="AU5" s="12"/>
      <c r="AV5" s="16"/>
      <c r="AW5" s="16"/>
      <c r="AX5" s="14"/>
      <c r="AY5" s="14"/>
      <c r="AZ5" s="14"/>
      <c r="BA5" s="14"/>
      <c r="BB5" s="12"/>
      <c r="BC5" s="12"/>
      <c r="BD5" s="12"/>
      <c r="BE5" s="12"/>
      <c r="BF5" s="12"/>
      <c r="BG5" s="12"/>
      <c r="BH5" s="12"/>
      <c r="BI5" s="12"/>
      <c r="BJ5" s="56">
        <v>-86400</v>
      </c>
      <c r="BK5" s="57">
        <v>0</v>
      </c>
      <c r="BL5" s="57">
        <v>5760</v>
      </c>
      <c r="BM5" s="57">
        <v>0</v>
      </c>
      <c r="BN5" s="57">
        <v>19.200000000000003</v>
      </c>
      <c r="BO5" s="57">
        <v>15</v>
      </c>
      <c r="BP5" s="57">
        <v>0</v>
      </c>
      <c r="BQ5" s="57">
        <v>0</v>
      </c>
      <c r="BR5" s="57">
        <v>0</v>
      </c>
      <c r="BS5" s="57">
        <v>0</v>
      </c>
      <c r="BT5" s="57">
        <v>0</v>
      </c>
      <c r="BU5" s="58">
        <v>15</v>
      </c>
      <c r="BV5" s="61">
        <v>15</v>
      </c>
      <c r="BW5" s="58">
        <v>172800</v>
      </c>
      <c r="BX5" s="61">
        <v>0</v>
      </c>
      <c r="BY5" s="58">
        <v>0</v>
      </c>
    </row>
    <row r="6" spans="1:77" ht="14.45" customHeight="1" x14ac:dyDescent="0.25">
      <c r="A6" s="11">
        <f t="shared" si="0"/>
        <v>2</v>
      </c>
      <c r="B6" s="11">
        <v>2</v>
      </c>
      <c r="C6" s="31">
        <v>0</v>
      </c>
      <c r="D6" s="37">
        <v>4</v>
      </c>
      <c r="E6" s="31">
        <v>5</v>
      </c>
      <c r="F6" s="31">
        <v>25</v>
      </c>
      <c r="G6" s="31">
        <v>15</v>
      </c>
      <c r="H6" s="31">
        <v>15</v>
      </c>
      <c r="I6" s="31">
        <v>240</v>
      </c>
      <c r="J6" s="31">
        <v>12</v>
      </c>
      <c r="K6" s="31">
        <v>-4</v>
      </c>
      <c r="L6" s="15"/>
      <c r="M6" s="15"/>
      <c r="N6" s="15">
        <v>300</v>
      </c>
      <c r="O6" s="15"/>
      <c r="P6" s="15"/>
      <c r="Q6" s="31">
        <v>0</v>
      </c>
      <c r="R6" s="31">
        <v>0</v>
      </c>
      <c r="S6" s="15">
        <v>1200</v>
      </c>
      <c r="T6" s="15">
        <v>1200</v>
      </c>
      <c r="U6" s="15"/>
      <c r="V6" s="15"/>
      <c r="W6" s="15"/>
      <c r="X6" s="30">
        <v>1</v>
      </c>
      <c r="Y6" s="30">
        <v>1</v>
      </c>
      <c r="Z6" s="30">
        <v>0</v>
      </c>
      <c r="AA6" s="30">
        <v>0</v>
      </c>
      <c r="AB6" s="15">
        <v>0</v>
      </c>
      <c r="AC6" s="15">
        <v>0</v>
      </c>
      <c r="AD6" s="30">
        <v>0</v>
      </c>
      <c r="AE6" s="30">
        <v>0</v>
      </c>
      <c r="AG6" s="20">
        <v>2</v>
      </c>
      <c r="AH6" s="12"/>
      <c r="AI6" s="13"/>
      <c r="AJ6" s="14"/>
      <c r="AK6" s="14"/>
      <c r="AL6" s="14"/>
      <c r="AM6" s="12"/>
      <c r="AN6" s="14"/>
      <c r="AO6" s="14"/>
      <c r="AP6" s="14"/>
      <c r="AQ6" s="14"/>
      <c r="AR6" s="12"/>
      <c r="AS6" s="12"/>
      <c r="AT6" s="12"/>
      <c r="AU6" s="12"/>
      <c r="AV6" s="16"/>
      <c r="AW6" s="16"/>
      <c r="AX6" s="14"/>
      <c r="AY6" s="14"/>
      <c r="AZ6" s="14"/>
      <c r="BA6" s="14"/>
      <c r="BB6" s="12"/>
      <c r="BC6" s="12"/>
      <c r="BD6" s="12"/>
      <c r="BE6" s="12"/>
      <c r="BF6" s="12"/>
      <c r="BG6" s="12"/>
      <c r="BH6" s="12"/>
      <c r="BI6" s="12"/>
      <c r="BJ6" s="56">
        <v>-69344.50101074655</v>
      </c>
      <c r="BK6" s="57">
        <v>6934.4501010746562</v>
      </c>
      <c r="BL6" s="57">
        <v>6934.4501010746562</v>
      </c>
      <c r="BM6" s="57">
        <v>5.7787084175622141</v>
      </c>
      <c r="BN6" s="57">
        <v>5.7787084175622141</v>
      </c>
      <c r="BO6" s="57">
        <v>15</v>
      </c>
      <c r="BP6" s="57">
        <v>0</v>
      </c>
      <c r="BQ6" s="57">
        <v>0</v>
      </c>
      <c r="BR6" s="57">
        <v>0</v>
      </c>
      <c r="BS6" s="57">
        <v>0</v>
      </c>
      <c r="BT6" s="57">
        <v>0</v>
      </c>
      <c r="BU6" s="58">
        <v>15</v>
      </c>
      <c r="BV6" s="61">
        <v>8.9805120650393615</v>
      </c>
      <c r="BW6" s="58">
        <v>103455.49898925345</v>
      </c>
      <c r="BX6" s="61">
        <v>0</v>
      </c>
      <c r="BY6" s="58">
        <v>0</v>
      </c>
    </row>
    <row r="7" spans="1:77" ht="14.45" customHeight="1" x14ac:dyDescent="0.25">
      <c r="A7" s="11">
        <f t="shared" si="0"/>
        <v>3</v>
      </c>
      <c r="B7" s="11">
        <v>3</v>
      </c>
      <c r="C7" s="31">
        <v>0</v>
      </c>
      <c r="D7" s="37">
        <v>4</v>
      </c>
      <c r="E7" s="31">
        <v>5</v>
      </c>
      <c r="F7" s="31">
        <v>25</v>
      </c>
      <c r="G7" s="31">
        <v>15</v>
      </c>
      <c r="H7" s="31">
        <v>15</v>
      </c>
      <c r="I7" s="31">
        <v>240</v>
      </c>
      <c r="J7" s="31">
        <v>12</v>
      </c>
      <c r="K7" s="31">
        <v>-4</v>
      </c>
      <c r="L7" s="15"/>
      <c r="M7" s="15"/>
      <c r="N7" s="15">
        <v>300</v>
      </c>
      <c r="O7" s="15"/>
      <c r="P7" s="15"/>
      <c r="Q7" s="31">
        <v>0</v>
      </c>
      <c r="R7" s="31">
        <v>0</v>
      </c>
      <c r="S7" s="15">
        <v>1200</v>
      </c>
      <c r="T7" s="15">
        <v>1200</v>
      </c>
      <c r="U7" s="15"/>
      <c r="V7" s="15"/>
      <c r="W7" s="15"/>
      <c r="X7" s="30">
        <v>1</v>
      </c>
      <c r="Y7" s="30">
        <v>1</v>
      </c>
      <c r="Z7" s="30">
        <v>0</v>
      </c>
      <c r="AA7" s="30">
        <v>0</v>
      </c>
      <c r="AB7" s="15">
        <v>0</v>
      </c>
      <c r="AC7" s="15">
        <v>0</v>
      </c>
      <c r="AD7" s="30">
        <v>0</v>
      </c>
      <c r="AE7" s="30">
        <v>0</v>
      </c>
      <c r="AG7" s="20">
        <v>3</v>
      </c>
      <c r="AH7" s="12"/>
      <c r="AI7" s="13"/>
      <c r="AJ7" s="14"/>
      <c r="AK7" s="14"/>
      <c r="AL7" s="14"/>
      <c r="AM7" s="12"/>
      <c r="AN7" s="14"/>
      <c r="AO7" s="14"/>
      <c r="AP7" s="14"/>
      <c r="AQ7" s="14"/>
      <c r="AR7" s="12"/>
      <c r="AS7" s="12"/>
      <c r="AT7" s="12"/>
      <c r="AU7" s="12"/>
      <c r="AV7" s="16"/>
      <c r="AW7" s="16"/>
      <c r="AX7" s="14"/>
      <c r="AY7" s="14"/>
      <c r="AZ7" s="14"/>
      <c r="BA7" s="14"/>
      <c r="BB7" s="12"/>
      <c r="BC7" s="12"/>
      <c r="BD7" s="12"/>
      <c r="BE7" s="12"/>
      <c r="BF7" s="12"/>
      <c r="BG7" s="12"/>
      <c r="BH7" s="12"/>
      <c r="BI7" s="12"/>
      <c r="BJ7" s="56">
        <v>0</v>
      </c>
      <c r="BK7" s="57">
        <v>0</v>
      </c>
      <c r="BL7" s="57">
        <v>0</v>
      </c>
      <c r="BM7" s="57">
        <v>0</v>
      </c>
      <c r="BN7" s="57">
        <v>0</v>
      </c>
      <c r="BO7" s="57">
        <v>8.9805120650393615</v>
      </c>
      <c r="BP7" s="57">
        <v>-288000</v>
      </c>
      <c r="BQ7" s="57">
        <v>11520</v>
      </c>
      <c r="BR7" s="57">
        <v>0</v>
      </c>
      <c r="BS7" s="57">
        <v>38.400000000000006</v>
      </c>
      <c r="BT7" s="57">
        <v>0</v>
      </c>
      <c r="BU7" s="58">
        <v>8.9805120650393615</v>
      </c>
      <c r="BV7" s="61">
        <v>16.990256032519678</v>
      </c>
      <c r="BW7" s="58">
        <v>391455.49898925336</v>
      </c>
      <c r="BX7" s="61">
        <v>4</v>
      </c>
      <c r="BY7" s="58">
        <v>0</v>
      </c>
    </row>
    <row r="8" spans="1:77" ht="14.45" customHeight="1" x14ac:dyDescent="0.25">
      <c r="A8" s="11">
        <f t="shared" si="0"/>
        <v>4</v>
      </c>
      <c r="B8" s="11">
        <v>4</v>
      </c>
      <c r="C8" s="31">
        <v>0</v>
      </c>
      <c r="D8" s="37">
        <v>4</v>
      </c>
      <c r="E8" s="31">
        <v>5</v>
      </c>
      <c r="F8" s="31">
        <v>25</v>
      </c>
      <c r="G8" s="31">
        <v>15</v>
      </c>
      <c r="H8" s="31">
        <v>15</v>
      </c>
      <c r="I8" s="31">
        <v>240</v>
      </c>
      <c r="J8" s="31">
        <v>12</v>
      </c>
      <c r="K8" s="31">
        <v>-4</v>
      </c>
      <c r="L8" s="15"/>
      <c r="M8" s="15"/>
      <c r="N8" s="15">
        <v>300</v>
      </c>
      <c r="O8" s="15"/>
      <c r="P8" s="15"/>
      <c r="Q8" s="31">
        <v>0</v>
      </c>
      <c r="R8" s="31">
        <v>0</v>
      </c>
      <c r="S8" s="15">
        <v>1200</v>
      </c>
      <c r="T8" s="15">
        <v>1200</v>
      </c>
      <c r="U8" s="15"/>
      <c r="V8" s="15"/>
      <c r="W8" s="15"/>
      <c r="X8" s="30">
        <v>1</v>
      </c>
      <c r="Y8" s="30">
        <v>1</v>
      </c>
      <c r="Z8" s="30">
        <v>0</v>
      </c>
      <c r="AA8" s="30">
        <v>0</v>
      </c>
      <c r="AB8" s="15">
        <v>0</v>
      </c>
      <c r="AC8" s="15">
        <v>0</v>
      </c>
      <c r="AD8" s="30">
        <v>0</v>
      </c>
      <c r="AE8" s="30">
        <v>0</v>
      </c>
      <c r="AG8" s="20">
        <v>4</v>
      </c>
      <c r="AH8" s="12"/>
      <c r="AI8" s="13"/>
      <c r="AJ8" s="14"/>
      <c r="AK8" s="14"/>
      <c r="AL8" s="14"/>
      <c r="AM8" s="12"/>
      <c r="AN8" s="14"/>
      <c r="AO8" s="14"/>
      <c r="AP8" s="14"/>
      <c r="AQ8" s="14"/>
      <c r="AR8" s="12"/>
      <c r="AS8" s="12"/>
      <c r="AT8" s="12"/>
      <c r="AU8" s="12"/>
      <c r="AV8" s="16"/>
      <c r="AW8" s="16"/>
      <c r="AX8" s="14"/>
      <c r="AY8" s="14"/>
      <c r="AZ8" s="14"/>
      <c r="BA8" s="14"/>
      <c r="BB8" s="12"/>
      <c r="BC8" s="12"/>
      <c r="BD8" s="12"/>
      <c r="BE8" s="12"/>
      <c r="BF8" s="12"/>
      <c r="BG8" s="12"/>
      <c r="BH8" s="12"/>
      <c r="BI8" s="12"/>
      <c r="BJ8" s="56">
        <v>0</v>
      </c>
      <c r="BK8" s="57">
        <v>0</v>
      </c>
      <c r="BL8" s="57">
        <v>0</v>
      </c>
      <c r="BM8" s="57">
        <v>0</v>
      </c>
      <c r="BN8" s="57">
        <v>0</v>
      </c>
      <c r="BO8" s="57">
        <v>16.990256032519678</v>
      </c>
      <c r="BP8" s="57">
        <v>-130541.42690175341</v>
      </c>
      <c r="BQ8" s="57">
        <v>16297.82767486121</v>
      </c>
      <c r="BR8" s="57">
        <v>16297.82767486121</v>
      </c>
      <c r="BS8" s="57">
        <v>13.581523062384342</v>
      </c>
      <c r="BT8" s="57">
        <v>13.581523062384342</v>
      </c>
      <c r="BU8" s="58">
        <v>-33.009743967480325</v>
      </c>
      <c r="BV8" s="61">
        <v>22.656116575130504</v>
      </c>
      <c r="BW8" s="58">
        <v>521996.92589100683</v>
      </c>
      <c r="BX8" s="61">
        <v>4</v>
      </c>
      <c r="BY8" s="58">
        <v>0</v>
      </c>
    </row>
    <row r="9" spans="1:77" ht="14.45" customHeight="1" x14ac:dyDescent="0.25">
      <c r="A9" s="11">
        <f t="shared" si="0"/>
        <v>5</v>
      </c>
      <c r="B9" s="11">
        <v>1</v>
      </c>
      <c r="C9" s="31">
        <v>0</v>
      </c>
      <c r="D9" s="37">
        <v>4</v>
      </c>
      <c r="E9" s="31">
        <v>5</v>
      </c>
      <c r="F9" s="31">
        <v>25</v>
      </c>
      <c r="G9" s="31">
        <v>15</v>
      </c>
      <c r="H9" s="31">
        <v>15</v>
      </c>
      <c r="I9" s="31">
        <v>240</v>
      </c>
      <c r="J9" s="31">
        <v>12</v>
      </c>
      <c r="K9" s="31">
        <v>-4</v>
      </c>
      <c r="L9" s="15"/>
      <c r="M9" s="15"/>
      <c r="N9" s="15">
        <v>300</v>
      </c>
      <c r="O9" s="15"/>
      <c r="P9" s="15"/>
      <c r="Q9" s="31">
        <v>0</v>
      </c>
      <c r="R9" s="31">
        <v>0</v>
      </c>
      <c r="S9" s="15">
        <v>1200</v>
      </c>
      <c r="T9" s="15">
        <v>1200</v>
      </c>
      <c r="U9" s="15"/>
      <c r="V9" s="15"/>
      <c r="W9" s="15"/>
      <c r="X9" s="30">
        <v>1</v>
      </c>
      <c r="Y9" s="30">
        <v>1</v>
      </c>
      <c r="Z9" s="30">
        <v>0</v>
      </c>
      <c r="AA9" s="30">
        <v>0</v>
      </c>
      <c r="AB9" s="15">
        <v>0</v>
      </c>
      <c r="AC9" s="15">
        <v>0</v>
      </c>
      <c r="AD9" s="30">
        <v>0</v>
      </c>
      <c r="AE9" s="30">
        <v>0</v>
      </c>
      <c r="AG9" s="20">
        <v>5</v>
      </c>
      <c r="AH9" s="12"/>
      <c r="AI9" s="13"/>
      <c r="AJ9" s="14"/>
      <c r="AK9" s="14"/>
      <c r="AL9" s="14"/>
      <c r="AM9" s="12"/>
      <c r="AN9" s="14"/>
      <c r="AO9" s="14"/>
      <c r="AP9" s="14"/>
      <c r="AQ9" s="14"/>
      <c r="AR9" s="12"/>
      <c r="AS9" s="12"/>
      <c r="AT9" s="12"/>
      <c r="AU9" s="12"/>
      <c r="AV9" s="16"/>
      <c r="AW9" s="16"/>
      <c r="AX9" s="14"/>
      <c r="AY9" s="14"/>
      <c r="AZ9" s="14"/>
      <c r="BA9" s="14"/>
      <c r="BB9" s="12"/>
      <c r="BC9" s="12"/>
      <c r="BD9" s="12"/>
      <c r="BE9" s="12"/>
      <c r="BF9" s="12"/>
      <c r="BG9" s="12"/>
      <c r="BH9" s="12"/>
      <c r="BI9" s="12"/>
      <c r="BJ9" s="56">
        <v>-260998.46294550342</v>
      </c>
      <c r="BK9" s="57">
        <v>0</v>
      </c>
      <c r="BL9" s="57">
        <v>11520</v>
      </c>
      <c r="BM9" s="57">
        <v>0</v>
      </c>
      <c r="BN9" s="57">
        <v>38.400000000000006</v>
      </c>
      <c r="BO9" s="57">
        <v>22.656116575130504</v>
      </c>
      <c r="BP9" s="57">
        <v>0</v>
      </c>
      <c r="BQ9" s="57">
        <v>0</v>
      </c>
      <c r="BR9" s="57">
        <v>0</v>
      </c>
      <c r="BS9" s="57">
        <v>0</v>
      </c>
      <c r="BT9" s="57">
        <v>0</v>
      </c>
      <c r="BU9" s="58">
        <v>22.656116575130504</v>
      </c>
      <c r="BV9" s="61">
        <v>22.656116575130504</v>
      </c>
      <c r="BW9" s="58">
        <v>260998.46294550342</v>
      </c>
      <c r="BX9" s="61">
        <v>0</v>
      </c>
      <c r="BY9" s="58">
        <v>0</v>
      </c>
    </row>
    <row r="10" spans="1:77" ht="14.45" customHeight="1" x14ac:dyDescent="0.25">
      <c r="A10" s="11">
        <f t="shared" si="0"/>
        <v>6</v>
      </c>
      <c r="B10" s="11">
        <v>2</v>
      </c>
      <c r="C10" s="31">
        <v>0</v>
      </c>
      <c r="D10" s="37">
        <v>4</v>
      </c>
      <c r="E10" s="31">
        <v>5</v>
      </c>
      <c r="F10" s="31">
        <v>25</v>
      </c>
      <c r="G10" s="31">
        <v>15</v>
      </c>
      <c r="H10" s="31">
        <v>15</v>
      </c>
      <c r="I10" s="31">
        <v>240</v>
      </c>
      <c r="J10" s="31">
        <v>12</v>
      </c>
      <c r="K10" s="31">
        <v>-4</v>
      </c>
      <c r="L10" s="15"/>
      <c r="M10" s="15"/>
      <c r="N10" s="15">
        <v>300</v>
      </c>
      <c r="O10" s="15"/>
      <c r="P10" s="15"/>
      <c r="Q10" s="31">
        <v>0</v>
      </c>
      <c r="R10" s="31">
        <v>0</v>
      </c>
      <c r="S10" s="15">
        <v>1200</v>
      </c>
      <c r="T10" s="15">
        <v>1200</v>
      </c>
      <c r="U10" s="15"/>
      <c r="V10" s="15"/>
      <c r="W10" s="15"/>
      <c r="X10" s="30">
        <v>1</v>
      </c>
      <c r="Y10" s="30">
        <v>1</v>
      </c>
      <c r="Z10" s="30">
        <v>0</v>
      </c>
      <c r="AA10" s="30">
        <v>0</v>
      </c>
      <c r="AB10" s="15">
        <v>0</v>
      </c>
      <c r="AC10" s="15">
        <v>0</v>
      </c>
      <c r="AD10" s="30">
        <v>0</v>
      </c>
      <c r="AE10" s="30">
        <v>0</v>
      </c>
      <c r="AG10" s="20">
        <v>6</v>
      </c>
      <c r="AH10" s="12"/>
      <c r="AI10" s="13"/>
      <c r="AJ10" s="14"/>
      <c r="AK10" s="14"/>
      <c r="AL10" s="14"/>
      <c r="AM10" s="12"/>
      <c r="AN10" s="14"/>
      <c r="AO10" s="14"/>
      <c r="AP10" s="14"/>
      <c r="AQ10" s="14"/>
      <c r="AR10" s="12"/>
      <c r="AS10" s="12"/>
      <c r="AT10" s="12"/>
      <c r="AU10" s="12"/>
      <c r="AV10" s="16"/>
      <c r="AW10" s="16"/>
      <c r="AX10" s="14"/>
      <c r="AY10" s="14"/>
      <c r="AZ10" s="14"/>
      <c r="BA10" s="14"/>
      <c r="BB10" s="12"/>
      <c r="BC10" s="12"/>
      <c r="BD10" s="12"/>
      <c r="BE10" s="12"/>
      <c r="BF10" s="12"/>
      <c r="BG10" s="12"/>
      <c r="BH10" s="12"/>
      <c r="BI10" s="12"/>
      <c r="BJ10" s="56">
        <v>-148225.71195171378</v>
      </c>
      <c r="BK10" s="57">
        <v>8395.1480112278405</v>
      </c>
      <c r="BL10" s="57">
        <v>8395.1480112278405</v>
      </c>
      <c r="BM10" s="57">
        <v>6.9959566760232006</v>
      </c>
      <c r="BN10" s="57">
        <v>6.9959566760232006</v>
      </c>
      <c r="BO10" s="57">
        <v>22.656116575130504</v>
      </c>
      <c r="BP10" s="57">
        <v>0</v>
      </c>
      <c r="BQ10" s="57">
        <v>0</v>
      </c>
      <c r="BR10" s="57">
        <v>0</v>
      </c>
      <c r="BS10" s="57">
        <v>0</v>
      </c>
      <c r="BT10" s="57">
        <v>0</v>
      </c>
      <c r="BU10" s="58">
        <v>22.656116575130504</v>
      </c>
      <c r="BV10" s="61">
        <v>9.7893013015442403</v>
      </c>
      <c r="BW10" s="58">
        <v>112772.75099378965</v>
      </c>
      <c r="BX10" s="61">
        <v>0</v>
      </c>
      <c r="BY10" s="58">
        <v>0</v>
      </c>
    </row>
    <row r="11" spans="1:77" ht="14.45" customHeight="1" x14ac:dyDescent="0.25">
      <c r="A11" s="11">
        <f t="shared" si="0"/>
        <v>7</v>
      </c>
      <c r="B11" s="11">
        <v>3</v>
      </c>
      <c r="C11" s="31">
        <v>0</v>
      </c>
      <c r="D11" s="37">
        <v>4</v>
      </c>
      <c r="E11" s="31">
        <v>5</v>
      </c>
      <c r="F11" s="31">
        <v>25</v>
      </c>
      <c r="G11" s="31">
        <v>15</v>
      </c>
      <c r="H11" s="31">
        <v>15</v>
      </c>
      <c r="I11" s="31">
        <v>240</v>
      </c>
      <c r="J11" s="31">
        <v>12</v>
      </c>
      <c r="K11" s="31">
        <v>-4</v>
      </c>
      <c r="L11" s="15"/>
      <c r="M11" s="15"/>
      <c r="N11" s="15">
        <v>300</v>
      </c>
      <c r="O11" s="15"/>
      <c r="P11" s="15"/>
      <c r="Q11" s="31">
        <v>0</v>
      </c>
      <c r="R11" s="31">
        <v>0</v>
      </c>
      <c r="S11" s="15">
        <v>1200</v>
      </c>
      <c r="T11" s="15">
        <v>1200</v>
      </c>
      <c r="U11" s="15"/>
      <c r="V11" s="15"/>
      <c r="W11" s="15"/>
      <c r="X11" s="30">
        <v>1</v>
      </c>
      <c r="Y11" s="30">
        <v>1</v>
      </c>
      <c r="Z11" s="30">
        <v>0</v>
      </c>
      <c r="AA11" s="30">
        <v>0</v>
      </c>
      <c r="AB11" s="15">
        <v>0</v>
      </c>
      <c r="AC11" s="15">
        <v>0</v>
      </c>
      <c r="AD11" s="30">
        <v>0</v>
      </c>
      <c r="AE11" s="30">
        <v>0</v>
      </c>
      <c r="AG11" s="20">
        <v>7</v>
      </c>
      <c r="AH11" s="12"/>
      <c r="AI11" s="13"/>
      <c r="AJ11" s="14"/>
      <c r="AK11" s="14"/>
      <c r="AL11" s="14"/>
      <c r="AM11" s="12"/>
      <c r="AN11" s="14"/>
      <c r="AO11" s="14"/>
      <c r="AP11" s="14"/>
      <c r="AQ11" s="14"/>
      <c r="AR11" s="12"/>
      <c r="AS11" s="12"/>
      <c r="AT11" s="12"/>
      <c r="AU11" s="12"/>
      <c r="AV11" s="16"/>
      <c r="AW11" s="16"/>
      <c r="AX11" s="14"/>
      <c r="AY11" s="14"/>
      <c r="AZ11" s="14"/>
      <c r="BA11" s="14"/>
      <c r="BB11" s="12"/>
      <c r="BC11" s="12"/>
      <c r="BD11" s="12"/>
      <c r="BE11" s="12"/>
      <c r="BF11" s="12"/>
      <c r="BG11" s="12"/>
      <c r="BH11" s="12"/>
      <c r="BI11" s="12"/>
      <c r="BJ11" s="56">
        <v>0</v>
      </c>
      <c r="BK11" s="57">
        <v>0</v>
      </c>
      <c r="BL11" s="57">
        <v>0</v>
      </c>
      <c r="BM11" s="57">
        <v>0</v>
      </c>
      <c r="BN11" s="57">
        <v>0</v>
      </c>
      <c r="BO11" s="57">
        <v>9.7893013015442403</v>
      </c>
      <c r="BP11" s="57">
        <v>-288000</v>
      </c>
      <c r="BQ11" s="57">
        <v>11520</v>
      </c>
      <c r="BR11" s="57">
        <v>0</v>
      </c>
      <c r="BS11" s="57">
        <v>38.400000000000006</v>
      </c>
      <c r="BT11" s="57">
        <v>0</v>
      </c>
      <c r="BU11" s="58">
        <v>9.7893013015442403</v>
      </c>
      <c r="BV11" s="61">
        <v>17.394650650772121</v>
      </c>
      <c r="BW11" s="58">
        <v>400772.75099378964</v>
      </c>
      <c r="BX11" s="61">
        <v>4</v>
      </c>
      <c r="BY11" s="58">
        <v>0</v>
      </c>
    </row>
    <row r="12" spans="1:77" ht="14.45" customHeight="1" x14ac:dyDescent="0.25">
      <c r="A12" s="11">
        <f t="shared" si="0"/>
        <v>8</v>
      </c>
      <c r="B12" s="11">
        <v>4</v>
      </c>
      <c r="C12" s="31">
        <v>0</v>
      </c>
      <c r="D12" s="37">
        <v>4</v>
      </c>
      <c r="E12" s="31">
        <v>5</v>
      </c>
      <c r="F12" s="31">
        <v>25</v>
      </c>
      <c r="G12" s="31">
        <v>15</v>
      </c>
      <c r="H12" s="31">
        <v>15</v>
      </c>
      <c r="I12" s="31">
        <v>240</v>
      </c>
      <c r="J12" s="31">
        <v>12</v>
      </c>
      <c r="K12" s="31">
        <v>-4</v>
      </c>
      <c r="L12" s="15"/>
      <c r="M12" s="15"/>
      <c r="N12" s="15">
        <v>300</v>
      </c>
      <c r="O12" s="15"/>
      <c r="P12" s="15"/>
      <c r="Q12" s="31">
        <v>0</v>
      </c>
      <c r="R12" s="31">
        <v>0</v>
      </c>
      <c r="S12" s="15">
        <v>1200</v>
      </c>
      <c r="T12" s="15">
        <v>1200</v>
      </c>
      <c r="U12" s="15"/>
      <c r="V12" s="15"/>
      <c r="W12" s="15"/>
      <c r="X12" s="30">
        <v>1</v>
      </c>
      <c r="Y12" s="30">
        <v>1</v>
      </c>
      <c r="Z12" s="30">
        <v>0</v>
      </c>
      <c r="AA12" s="30">
        <v>0</v>
      </c>
      <c r="AB12" s="15">
        <v>0</v>
      </c>
      <c r="AC12" s="15">
        <v>0</v>
      </c>
      <c r="AD12" s="30">
        <v>0</v>
      </c>
      <c r="AE12" s="30">
        <v>0</v>
      </c>
      <c r="AG12" s="20">
        <v>8</v>
      </c>
      <c r="AH12" s="12"/>
      <c r="AI12" s="13"/>
      <c r="AJ12" s="14"/>
      <c r="AK12" s="14"/>
      <c r="AL12" s="14"/>
      <c r="AM12" s="12"/>
      <c r="AN12" s="14"/>
      <c r="AO12" s="14"/>
      <c r="AP12" s="14"/>
      <c r="AQ12" s="14"/>
      <c r="AR12" s="12"/>
      <c r="AS12" s="12"/>
      <c r="AT12" s="12"/>
      <c r="AU12" s="12"/>
      <c r="AV12" s="16"/>
      <c r="AW12" s="16"/>
      <c r="AX12" s="14"/>
      <c r="AY12" s="14"/>
      <c r="AZ12" s="14"/>
      <c r="BA12" s="14"/>
      <c r="BB12" s="12"/>
      <c r="BC12" s="12"/>
      <c r="BD12" s="12"/>
      <c r="BE12" s="12"/>
      <c r="BF12" s="12"/>
      <c r="BG12" s="12"/>
      <c r="BH12" s="12"/>
      <c r="BI12" s="12"/>
      <c r="BJ12" s="56">
        <v>0</v>
      </c>
      <c r="BK12" s="57">
        <v>0</v>
      </c>
      <c r="BL12" s="57">
        <v>0</v>
      </c>
      <c r="BM12" s="57">
        <v>0</v>
      </c>
      <c r="BN12" s="57">
        <v>0</v>
      </c>
      <c r="BO12" s="57">
        <v>17.394650650772121</v>
      </c>
      <c r="BP12" s="57">
        <v>-121936.30196371826</v>
      </c>
      <c r="BQ12" s="57">
        <v>16032.965267545225</v>
      </c>
      <c r="BR12" s="57">
        <v>16032.965267545225</v>
      </c>
      <c r="BS12" s="57">
        <v>13.360804389621022</v>
      </c>
      <c r="BT12" s="57">
        <v>13.360804389621022</v>
      </c>
      <c r="BU12" s="58">
        <v>-32.605349349227879</v>
      </c>
      <c r="BV12" s="61">
        <v>22.687024867947393</v>
      </c>
      <c r="BW12" s="58">
        <v>522709.05295750796</v>
      </c>
      <c r="BX12" s="61">
        <v>4</v>
      </c>
      <c r="BY12" s="58">
        <v>0</v>
      </c>
    </row>
    <row r="13" spans="1:77" ht="14.45" customHeight="1" x14ac:dyDescent="0.25">
      <c r="A13" s="11">
        <f t="shared" si="0"/>
        <v>9</v>
      </c>
      <c r="B13" s="11">
        <v>1</v>
      </c>
      <c r="C13" s="31">
        <v>0</v>
      </c>
      <c r="D13" s="37">
        <v>4</v>
      </c>
      <c r="E13" s="31">
        <v>5</v>
      </c>
      <c r="F13" s="31">
        <v>25</v>
      </c>
      <c r="G13" s="31">
        <v>15</v>
      </c>
      <c r="H13" s="31">
        <v>15</v>
      </c>
      <c r="I13" s="31">
        <v>240</v>
      </c>
      <c r="J13" s="31">
        <v>12</v>
      </c>
      <c r="K13" s="31">
        <v>-4</v>
      </c>
      <c r="L13" s="15"/>
      <c r="M13" s="15"/>
      <c r="N13" s="15">
        <v>300</v>
      </c>
      <c r="O13" s="15"/>
      <c r="P13" s="15"/>
      <c r="Q13" s="31">
        <v>0</v>
      </c>
      <c r="R13" s="31">
        <v>0</v>
      </c>
      <c r="S13" s="15">
        <v>1200</v>
      </c>
      <c r="T13" s="15">
        <v>1200</v>
      </c>
      <c r="U13" s="15"/>
      <c r="V13" s="15"/>
      <c r="W13" s="15"/>
      <c r="X13" s="30">
        <v>1</v>
      </c>
      <c r="Y13" s="30">
        <v>1</v>
      </c>
      <c r="Z13" s="30">
        <v>0</v>
      </c>
      <c r="AA13" s="30">
        <v>0</v>
      </c>
      <c r="AB13" s="15">
        <v>0</v>
      </c>
      <c r="AC13" s="15">
        <v>0</v>
      </c>
      <c r="AD13" s="30">
        <v>0</v>
      </c>
      <c r="AE13" s="30">
        <v>0</v>
      </c>
      <c r="AG13" s="20">
        <v>9</v>
      </c>
      <c r="AH13" s="12"/>
      <c r="AI13" s="13"/>
      <c r="AJ13" s="14"/>
      <c r="AK13" s="14"/>
      <c r="AL13" s="14"/>
      <c r="AM13" s="12"/>
      <c r="AN13" s="14"/>
      <c r="AO13" s="14"/>
      <c r="AP13" s="14"/>
      <c r="AQ13" s="14"/>
      <c r="AR13" s="12"/>
      <c r="AS13" s="12"/>
      <c r="AT13" s="12"/>
      <c r="AU13" s="12"/>
      <c r="AV13" s="16"/>
      <c r="AW13" s="16"/>
      <c r="AX13" s="14"/>
      <c r="AY13" s="14"/>
      <c r="AZ13" s="14"/>
      <c r="BA13" s="14"/>
      <c r="BB13" s="12"/>
      <c r="BC13" s="12"/>
      <c r="BD13" s="12"/>
      <c r="BE13" s="12"/>
      <c r="BF13" s="12"/>
      <c r="BG13" s="12"/>
      <c r="BH13" s="12"/>
      <c r="BI13" s="12"/>
      <c r="BJ13" s="56">
        <v>-261354.52647875398</v>
      </c>
      <c r="BK13" s="57">
        <v>0</v>
      </c>
      <c r="BL13" s="57">
        <v>11520</v>
      </c>
      <c r="BM13" s="57">
        <v>0</v>
      </c>
      <c r="BN13" s="57">
        <v>38.400000000000006</v>
      </c>
      <c r="BO13" s="57">
        <v>22.687024867947393</v>
      </c>
      <c r="BP13" s="57">
        <v>0</v>
      </c>
      <c r="BQ13" s="57">
        <v>0</v>
      </c>
      <c r="BR13" s="57">
        <v>0</v>
      </c>
      <c r="BS13" s="57">
        <v>0</v>
      </c>
      <c r="BT13" s="57">
        <v>0</v>
      </c>
      <c r="BU13" s="58">
        <v>22.687024867947393</v>
      </c>
      <c r="BV13" s="61">
        <v>22.687024867947393</v>
      </c>
      <c r="BW13" s="58">
        <v>261354.52647875398</v>
      </c>
      <c r="BX13" s="61">
        <v>0</v>
      </c>
      <c r="BY13" s="58">
        <v>0</v>
      </c>
    </row>
    <row r="14" spans="1:77" ht="14.45" customHeight="1" x14ac:dyDescent="0.25">
      <c r="A14" s="11">
        <f t="shared" si="0"/>
        <v>10</v>
      </c>
      <c r="B14" s="11">
        <v>2</v>
      </c>
      <c r="C14" s="31">
        <v>0</v>
      </c>
      <c r="D14" s="37">
        <v>4</v>
      </c>
      <c r="E14" s="31">
        <v>5</v>
      </c>
      <c r="F14" s="31">
        <v>25</v>
      </c>
      <c r="G14" s="31">
        <v>15</v>
      </c>
      <c r="H14" s="31">
        <v>15</v>
      </c>
      <c r="I14" s="31">
        <v>240</v>
      </c>
      <c r="J14" s="31">
        <v>12</v>
      </c>
      <c r="K14" s="31">
        <v>-4</v>
      </c>
      <c r="L14" s="15"/>
      <c r="M14" s="15"/>
      <c r="N14" s="15">
        <v>300</v>
      </c>
      <c r="O14" s="15"/>
      <c r="P14" s="15"/>
      <c r="Q14" s="31">
        <v>0</v>
      </c>
      <c r="R14" s="31">
        <v>0</v>
      </c>
      <c r="S14" s="15">
        <v>1200</v>
      </c>
      <c r="T14" s="15">
        <v>1200</v>
      </c>
      <c r="U14" s="15"/>
      <c r="V14" s="15"/>
      <c r="W14" s="15"/>
      <c r="X14" s="30">
        <v>1</v>
      </c>
      <c r="Y14" s="30">
        <v>1</v>
      </c>
      <c r="Z14" s="30">
        <v>0</v>
      </c>
      <c r="AA14" s="30">
        <v>0</v>
      </c>
      <c r="AB14" s="15">
        <v>0</v>
      </c>
      <c r="AC14" s="15">
        <v>0</v>
      </c>
      <c r="AD14" s="30">
        <v>0</v>
      </c>
      <c r="AE14" s="30">
        <v>0</v>
      </c>
      <c r="AG14" s="20">
        <v>10</v>
      </c>
      <c r="AH14" s="12"/>
      <c r="AI14" s="13"/>
      <c r="AJ14" s="14"/>
      <c r="AK14" s="14"/>
      <c r="AL14" s="14"/>
      <c r="AM14" s="12"/>
      <c r="AN14" s="14"/>
      <c r="AO14" s="14"/>
      <c r="AP14" s="14"/>
      <c r="AQ14" s="14"/>
      <c r="AR14" s="12"/>
      <c r="AS14" s="12"/>
      <c r="AT14" s="12"/>
      <c r="AU14" s="12"/>
      <c r="AV14" s="16"/>
      <c r="AW14" s="16"/>
      <c r="AX14" s="14"/>
      <c r="AY14" s="14"/>
      <c r="AZ14" s="14"/>
      <c r="BA14" s="14"/>
      <c r="BB14" s="12"/>
      <c r="BC14" s="12"/>
      <c r="BD14" s="12"/>
      <c r="BE14" s="12"/>
      <c r="BF14" s="12"/>
      <c r="BG14" s="12"/>
      <c r="BH14" s="12"/>
      <c r="BI14" s="12"/>
      <c r="BJ14" s="56">
        <v>-148562.88380444184</v>
      </c>
      <c r="BK14" s="57">
        <v>8399.5406188221623</v>
      </c>
      <c r="BL14" s="57">
        <v>8399.5406188221623</v>
      </c>
      <c r="BM14" s="57">
        <v>6.9996171823518027</v>
      </c>
      <c r="BN14" s="57">
        <v>6.9996171823518027</v>
      </c>
      <c r="BO14" s="57">
        <v>22.687024867947397</v>
      </c>
      <c r="BP14" s="57">
        <v>0</v>
      </c>
      <c r="BQ14" s="57">
        <v>0</v>
      </c>
      <c r="BR14" s="57">
        <v>0</v>
      </c>
      <c r="BS14" s="57">
        <v>0</v>
      </c>
      <c r="BT14" s="57">
        <v>0</v>
      </c>
      <c r="BU14" s="58">
        <v>22.687024867947393</v>
      </c>
      <c r="BV14" s="61">
        <v>9.7909412043673729</v>
      </c>
      <c r="BW14" s="58">
        <v>112791.64267431214</v>
      </c>
      <c r="BX14" s="61">
        <v>0</v>
      </c>
      <c r="BY14" s="58">
        <v>0</v>
      </c>
    </row>
    <row r="15" spans="1:77" ht="14.45" customHeight="1" x14ac:dyDescent="0.25">
      <c r="A15" s="11">
        <f t="shared" si="0"/>
        <v>11</v>
      </c>
      <c r="B15" s="11">
        <v>3</v>
      </c>
      <c r="C15" s="31">
        <v>0</v>
      </c>
      <c r="D15" s="37">
        <v>4</v>
      </c>
      <c r="E15" s="31">
        <v>5</v>
      </c>
      <c r="F15" s="31">
        <v>25</v>
      </c>
      <c r="G15" s="31">
        <v>15</v>
      </c>
      <c r="H15" s="31">
        <v>15</v>
      </c>
      <c r="I15" s="31">
        <v>240</v>
      </c>
      <c r="J15" s="31">
        <v>12</v>
      </c>
      <c r="K15" s="31">
        <v>-4</v>
      </c>
      <c r="L15" s="15"/>
      <c r="M15" s="15"/>
      <c r="N15" s="15">
        <v>300</v>
      </c>
      <c r="O15" s="15"/>
      <c r="P15" s="15"/>
      <c r="Q15" s="31">
        <v>0</v>
      </c>
      <c r="R15" s="31">
        <v>0</v>
      </c>
      <c r="S15" s="15">
        <v>1200</v>
      </c>
      <c r="T15" s="15">
        <v>1200</v>
      </c>
      <c r="U15" s="15"/>
      <c r="V15" s="15"/>
      <c r="W15" s="15"/>
      <c r="X15" s="30">
        <v>1</v>
      </c>
      <c r="Y15" s="30">
        <v>1</v>
      </c>
      <c r="Z15" s="30">
        <v>0</v>
      </c>
      <c r="AA15" s="30">
        <v>0</v>
      </c>
      <c r="AB15" s="15">
        <v>0</v>
      </c>
      <c r="AC15" s="15">
        <v>0</v>
      </c>
      <c r="AD15" s="30">
        <v>0</v>
      </c>
      <c r="AE15" s="30">
        <v>0</v>
      </c>
      <c r="AG15" s="20">
        <v>11</v>
      </c>
      <c r="AH15" s="12"/>
      <c r="AI15" s="13"/>
      <c r="AJ15" s="14"/>
      <c r="AK15" s="14"/>
      <c r="AL15" s="14"/>
      <c r="AM15" s="12"/>
      <c r="AN15" s="14"/>
      <c r="AO15" s="14"/>
      <c r="AP15" s="14"/>
      <c r="AQ15" s="14"/>
      <c r="AR15" s="12"/>
      <c r="AS15" s="12"/>
      <c r="AT15" s="12"/>
      <c r="AU15" s="12"/>
      <c r="AV15" s="16"/>
      <c r="AW15" s="16"/>
      <c r="AX15" s="14"/>
      <c r="AY15" s="14"/>
      <c r="AZ15" s="14"/>
      <c r="BA15" s="14"/>
      <c r="BB15" s="12"/>
      <c r="BC15" s="12"/>
      <c r="BD15" s="12"/>
      <c r="BE15" s="12"/>
      <c r="BF15" s="12"/>
      <c r="BG15" s="12"/>
      <c r="BH15" s="12"/>
      <c r="BI15" s="12"/>
      <c r="BJ15" s="56">
        <v>0</v>
      </c>
      <c r="BK15" s="57">
        <v>0</v>
      </c>
      <c r="BL15" s="57">
        <v>0</v>
      </c>
      <c r="BM15" s="57">
        <v>0</v>
      </c>
      <c r="BN15" s="57">
        <v>0</v>
      </c>
      <c r="BO15" s="57">
        <v>9.7909412043673729</v>
      </c>
      <c r="BP15" s="57">
        <v>-288000</v>
      </c>
      <c r="BQ15" s="57">
        <v>11520</v>
      </c>
      <c r="BR15" s="57">
        <v>0</v>
      </c>
      <c r="BS15" s="57">
        <v>38.400000000000006</v>
      </c>
      <c r="BT15" s="57">
        <v>0</v>
      </c>
      <c r="BU15" s="58">
        <v>9.7909412043673729</v>
      </c>
      <c r="BV15" s="15">
        <v>17.395470602183686</v>
      </c>
      <c r="BW15" s="58">
        <v>400791.64267431211</v>
      </c>
      <c r="BX15" s="61">
        <v>4</v>
      </c>
      <c r="BY15" s="58">
        <v>0</v>
      </c>
    </row>
    <row r="16" spans="1:77" ht="14.45" customHeight="1" x14ac:dyDescent="0.25">
      <c r="A16" s="11">
        <f t="shared" si="0"/>
        <v>12</v>
      </c>
      <c r="B16" s="11">
        <v>4</v>
      </c>
      <c r="C16" s="31">
        <v>0</v>
      </c>
      <c r="D16" s="37">
        <v>4</v>
      </c>
      <c r="E16" s="31">
        <v>5</v>
      </c>
      <c r="F16" s="31">
        <v>25</v>
      </c>
      <c r="G16" s="31">
        <v>15</v>
      </c>
      <c r="H16" s="31">
        <v>15</v>
      </c>
      <c r="I16" s="31">
        <v>240</v>
      </c>
      <c r="J16" s="31">
        <v>12</v>
      </c>
      <c r="K16" s="31">
        <v>-4</v>
      </c>
      <c r="L16" s="15"/>
      <c r="M16" s="15"/>
      <c r="N16" s="15">
        <v>300</v>
      </c>
      <c r="O16" s="15"/>
      <c r="P16" s="15"/>
      <c r="Q16" s="31">
        <v>0</v>
      </c>
      <c r="R16" s="31">
        <v>0</v>
      </c>
      <c r="S16" s="15">
        <v>1200</v>
      </c>
      <c r="T16" s="15">
        <v>1200</v>
      </c>
      <c r="U16" s="15"/>
      <c r="V16" s="15"/>
      <c r="W16" s="15"/>
      <c r="X16" s="30">
        <v>1</v>
      </c>
      <c r="Y16" s="30">
        <v>1</v>
      </c>
      <c r="Z16" s="30">
        <v>0</v>
      </c>
      <c r="AA16" s="30">
        <v>0</v>
      </c>
      <c r="AB16" s="15">
        <v>0</v>
      </c>
      <c r="AC16" s="15">
        <v>0</v>
      </c>
      <c r="AD16" s="30">
        <v>0</v>
      </c>
      <c r="AE16" s="30">
        <v>0</v>
      </c>
      <c r="AG16" s="20">
        <v>12</v>
      </c>
      <c r="AH16" s="12"/>
      <c r="AI16" s="13"/>
      <c r="AJ16" s="14"/>
      <c r="AK16" s="14"/>
      <c r="AL16" s="14"/>
      <c r="AM16" s="12"/>
      <c r="AN16" s="14"/>
      <c r="AO16" s="14"/>
      <c r="AP16" s="14"/>
      <c r="AQ16" s="14"/>
      <c r="AR16" s="12"/>
      <c r="AS16" s="12"/>
      <c r="AT16" s="12"/>
      <c r="AU16" s="12"/>
      <c r="AV16" s="16"/>
      <c r="AW16" s="16"/>
      <c r="AX16" s="14"/>
      <c r="AY16" s="14"/>
      <c r="AZ16" s="14"/>
      <c r="BA16" s="14"/>
      <c r="BB16" s="12"/>
      <c r="BC16" s="12"/>
      <c r="BD16" s="12"/>
      <c r="BE16" s="12"/>
      <c r="BF16" s="12"/>
      <c r="BG16" s="12"/>
      <c r="BH16" s="12"/>
      <c r="BI16" s="12"/>
      <c r="BJ16" s="56">
        <v>0</v>
      </c>
      <c r="BK16" s="57">
        <v>0</v>
      </c>
      <c r="BL16" s="57">
        <v>0</v>
      </c>
      <c r="BM16" s="57">
        <v>0</v>
      </c>
      <c r="BN16" s="57">
        <v>0</v>
      </c>
      <c r="BO16" s="57">
        <v>17.395470602183686</v>
      </c>
      <c r="BP16" s="57">
        <v>-121918.95244474662</v>
      </c>
      <c r="BQ16" s="57">
        <v>16032.412535581276</v>
      </c>
      <c r="BR16" s="57">
        <v>16032.412535581276</v>
      </c>
      <c r="BS16" s="57">
        <v>13.360343779651064</v>
      </c>
      <c r="BT16" s="57">
        <v>13.360343779651064</v>
      </c>
      <c r="BU16" s="58">
        <v>-32.604529397816314</v>
      </c>
      <c r="BV16" s="61">
        <v>22.687091802042481</v>
      </c>
      <c r="BW16" s="58">
        <v>522710.59511905874</v>
      </c>
      <c r="BX16" s="61">
        <v>4</v>
      </c>
      <c r="BY16" s="58">
        <v>0</v>
      </c>
    </row>
    <row r="17" spans="1:77" ht="14.45" customHeight="1" x14ac:dyDescent="0.25">
      <c r="A17" s="11">
        <f t="shared" si="0"/>
        <v>13</v>
      </c>
      <c r="B17" s="11">
        <v>1</v>
      </c>
      <c r="C17" s="31">
        <v>0</v>
      </c>
      <c r="D17" s="37">
        <v>4</v>
      </c>
      <c r="E17" s="31">
        <v>5</v>
      </c>
      <c r="F17" s="31">
        <v>25</v>
      </c>
      <c r="G17" s="31">
        <v>15</v>
      </c>
      <c r="H17" s="31">
        <v>15</v>
      </c>
      <c r="I17" s="31">
        <v>240</v>
      </c>
      <c r="J17" s="31">
        <v>12</v>
      </c>
      <c r="K17" s="31">
        <v>-4</v>
      </c>
      <c r="L17" s="15"/>
      <c r="M17" s="15"/>
      <c r="N17" s="15">
        <v>300</v>
      </c>
      <c r="O17" s="15"/>
      <c r="P17" s="15"/>
      <c r="Q17" s="31">
        <v>0</v>
      </c>
      <c r="R17" s="31">
        <v>0</v>
      </c>
      <c r="S17" s="15">
        <v>1200</v>
      </c>
      <c r="T17" s="15">
        <v>1200</v>
      </c>
      <c r="U17" s="15"/>
      <c r="V17" s="15"/>
      <c r="W17" s="15"/>
      <c r="X17" s="30">
        <v>1</v>
      </c>
      <c r="Y17" s="30">
        <v>1</v>
      </c>
      <c r="Z17" s="30">
        <v>0</v>
      </c>
      <c r="AA17" s="30">
        <v>0</v>
      </c>
      <c r="AB17" s="15">
        <v>0</v>
      </c>
      <c r="AC17" s="15">
        <v>0</v>
      </c>
      <c r="AD17" s="30">
        <v>0</v>
      </c>
      <c r="AE17" s="30">
        <v>0</v>
      </c>
      <c r="AG17" s="20">
        <v>13</v>
      </c>
      <c r="AH17" s="12"/>
      <c r="AI17" s="13"/>
      <c r="AJ17" s="14"/>
      <c r="AK17" s="14"/>
      <c r="AL17" s="14"/>
      <c r="AM17" s="12"/>
      <c r="AN17" s="14"/>
      <c r="AO17" s="14"/>
      <c r="AP17" s="14"/>
      <c r="AQ17" s="14"/>
      <c r="AR17" s="12"/>
      <c r="AS17" s="12"/>
      <c r="AT17" s="12"/>
      <c r="AU17" s="12"/>
      <c r="AV17" s="16"/>
      <c r="AW17" s="16"/>
      <c r="AX17" s="14"/>
      <c r="AY17" s="14"/>
      <c r="AZ17" s="14"/>
      <c r="BA17" s="14"/>
      <c r="BB17" s="12"/>
      <c r="BC17" s="12"/>
      <c r="BD17" s="12"/>
      <c r="BE17" s="12"/>
      <c r="BF17" s="12"/>
      <c r="BG17" s="12"/>
      <c r="BH17" s="12"/>
      <c r="BI17" s="12"/>
      <c r="BJ17" s="56">
        <v>-261355.29755952937</v>
      </c>
      <c r="BK17" s="57">
        <v>0</v>
      </c>
      <c r="BL17" s="57">
        <v>11520</v>
      </c>
      <c r="BM17" s="57">
        <v>0</v>
      </c>
      <c r="BN17" s="57">
        <v>38.400000000000006</v>
      </c>
      <c r="BO17" s="57">
        <v>22.687091802042481</v>
      </c>
      <c r="BP17" s="57">
        <v>0</v>
      </c>
      <c r="BQ17" s="57">
        <v>0</v>
      </c>
      <c r="BR17" s="57">
        <v>0</v>
      </c>
      <c r="BS17" s="57">
        <v>0</v>
      </c>
      <c r="BT17" s="57">
        <v>0</v>
      </c>
      <c r="BU17" s="58">
        <v>22.687091802042481</v>
      </c>
      <c r="BV17" s="61">
        <v>22.687091802042481</v>
      </c>
      <c r="BW17" s="58">
        <v>261355.29755952937</v>
      </c>
      <c r="BX17" s="61">
        <v>0</v>
      </c>
      <c r="BY17" s="58">
        <v>0</v>
      </c>
    </row>
    <row r="18" spans="1:77" ht="14.45" customHeight="1" x14ac:dyDescent="0.25">
      <c r="A18" s="11">
        <f t="shared" si="0"/>
        <v>14</v>
      </c>
      <c r="B18" s="11">
        <v>2</v>
      </c>
      <c r="C18" s="31">
        <v>0</v>
      </c>
      <c r="D18" s="37">
        <v>4</v>
      </c>
      <c r="E18" s="31">
        <v>5</v>
      </c>
      <c r="F18" s="31">
        <v>25</v>
      </c>
      <c r="G18" s="31">
        <v>15</v>
      </c>
      <c r="H18" s="31">
        <v>15</v>
      </c>
      <c r="I18" s="31">
        <v>240</v>
      </c>
      <c r="J18" s="31">
        <v>12</v>
      </c>
      <c r="K18" s="31">
        <v>-4</v>
      </c>
      <c r="L18" s="15"/>
      <c r="M18" s="15"/>
      <c r="N18" s="15">
        <v>300</v>
      </c>
      <c r="O18" s="15"/>
      <c r="P18" s="15"/>
      <c r="Q18" s="31">
        <v>0</v>
      </c>
      <c r="R18" s="31">
        <v>0</v>
      </c>
      <c r="S18" s="15">
        <v>1200</v>
      </c>
      <c r="T18" s="15">
        <v>1200</v>
      </c>
      <c r="U18" s="15"/>
      <c r="V18" s="15"/>
      <c r="W18" s="15"/>
      <c r="X18" s="30">
        <v>1</v>
      </c>
      <c r="Y18" s="30">
        <v>1</v>
      </c>
      <c r="Z18" s="30">
        <v>0</v>
      </c>
      <c r="AA18" s="30">
        <v>0</v>
      </c>
      <c r="AB18" s="15">
        <v>0</v>
      </c>
      <c r="AC18" s="15">
        <v>0</v>
      </c>
      <c r="AD18" s="30">
        <v>0</v>
      </c>
      <c r="AE18" s="30">
        <v>0</v>
      </c>
      <c r="AG18" s="20">
        <v>14</v>
      </c>
      <c r="AH18" s="12"/>
      <c r="AI18" s="13"/>
      <c r="AJ18" s="14"/>
      <c r="AK18" s="14"/>
      <c r="AL18" s="14"/>
      <c r="AM18" s="12"/>
      <c r="AN18" s="14"/>
      <c r="AO18" s="14"/>
      <c r="AP18" s="14"/>
      <c r="AQ18" s="14"/>
      <c r="AR18" s="12"/>
      <c r="AS18" s="12"/>
      <c r="AT18" s="12"/>
      <c r="AU18" s="12"/>
      <c r="AV18" s="16"/>
      <c r="AW18" s="16"/>
      <c r="AX18" s="14"/>
      <c r="AY18" s="14"/>
      <c r="AZ18" s="14"/>
      <c r="BA18" s="14"/>
      <c r="BB18" s="12"/>
      <c r="BC18" s="12"/>
      <c r="BD18" s="12"/>
      <c r="BE18" s="12"/>
      <c r="BF18" s="12"/>
      <c r="BG18" s="12"/>
      <c r="BH18" s="12"/>
      <c r="BI18" s="12"/>
      <c r="BJ18" s="56">
        <v>-148563.61409514735</v>
      </c>
      <c r="BK18" s="57">
        <v>8399.5501215180793</v>
      </c>
      <c r="BL18" s="57">
        <v>8399.5501215180793</v>
      </c>
      <c r="BM18" s="57">
        <v>6.9996251012650665</v>
      </c>
      <c r="BN18" s="57">
        <v>6.9996251012650665</v>
      </c>
      <c r="BO18" s="57">
        <v>22.687091802042481</v>
      </c>
      <c r="BP18" s="57">
        <v>0</v>
      </c>
      <c r="BQ18" s="57">
        <v>0</v>
      </c>
      <c r="BR18" s="57">
        <v>0</v>
      </c>
      <c r="BS18" s="57">
        <v>0</v>
      </c>
      <c r="BT18" s="57">
        <v>0</v>
      </c>
      <c r="BU18" s="58">
        <v>22.687091802042481</v>
      </c>
      <c r="BV18" s="61">
        <v>9.7909447451720499</v>
      </c>
      <c r="BW18" s="58">
        <v>112791.68346438202</v>
      </c>
      <c r="BX18" s="61">
        <v>0</v>
      </c>
      <c r="BY18" s="58">
        <v>0</v>
      </c>
    </row>
    <row r="19" spans="1:77" x14ac:dyDescent="0.25">
      <c r="A19" s="11">
        <f t="shared" si="0"/>
        <v>15</v>
      </c>
      <c r="B19" s="11">
        <v>3</v>
      </c>
      <c r="C19" s="31">
        <v>0</v>
      </c>
      <c r="D19" s="37">
        <v>4</v>
      </c>
      <c r="E19" s="31">
        <v>5</v>
      </c>
      <c r="F19" s="31">
        <v>25</v>
      </c>
      <c r="G19" s="31">
        <v>15</v>
      </c>
      <c r="H19" s="31">
        <v>15</v>
      </c>
      <c r="I19" s="31">
        <v>240</v>
      </c>
      <c r="J19" s="31">
        <v>12</v>
      </c>
      <c r="K19" s="31">
        <v>-4</v>
      </c>
      <c r="L19" s="15"/>
      <c r="M19" s="15"/>
      <c r="N19" s="15">
        <v>300</v>
      </c>
      <c r="O19" s="15"/>
      <c r="P19" s="15"/>
      <c r="Q19" s="31">
        <v>0</v>
      </c>
      <c r="R19" s="31">
        <v>0</v>
      </c>
      <c r="S19" s="15">
        <v>1200</v>
      </c>
      <c r="T19" s="15">
        <v>1200</v>
      </c>
      <c r="U19" s="15"/>
      <c r="V19" s="15"/>
      <c r="W19" s="15"/>
      <c r="X19" s="30">
        <v>1</v>
      </c>
      <c r="Y19" s="30">
        <v>1</v>
      </c>
      <c r="Z19" s="30">
        <v>0</v>
      </c>
      <c r="AA19" s="30">
        <v>0</v>
      </c>
      <c r="AB19" s="15">
        <v>0</v>
      </c>
      <c r="AC19" s="15">
        <v>0</v>
      </c>
      <c r="AD19" s="30">
        <v>0</v>
      </c>
      <c r="AE19" s="30">
        <v>0</v>
      </c>
      <c r="AG19" s="20">
        <v>15</v>
      </c>
      <c r="AH19" s="12"/>
      <c r="AI19" s="13"/>
      <c r="AJ19" s="14"/>
      <c r="AK19" s="14"/>
      <c r="AL19" s="14"/>
      <c r="AM19" s="12"/>
      <c r="AN19" s="14"/>
      <c r="AO19" s="14"/>
      <c r="AP19" s="14"/>
      <c r="AQ19" s="14"/>
      <c r="AR19" s="12"/>
      <c r="AS19" s="12"/>
      <c r="AT19" s="12"/>
      <c r="AU19" s="12"/>
      <c r="AV19" s="16"/>
      <c r="AW19" s="16"/>
      <c r="AX19" s="14"/>
      <c r="AY19" s="14"/>
      <c r="AZ19" s="14"/>
      <c r="BA19" s="14"/>
      <c r="BB19" s="12"/>
      <c r="BC19" s="12"/>
      <c r="BD19" s="12"/>
      <c r="BE19" s="12"/>
      <c r="BF19" s="12"/>
      <c r="BG19" s="12"/>
      <c r="BH19" s="12"/>
      <c r="BI19" s="12"/>
      <c r="BJ19" s="56">
        <v>0</v>
      </c>
      <c r="BK19" s="57">
        <v>0</v>
      </c>
      <c r="BL19" s="57">
        <v>0</v>
      </c>
      <c r="BM19" s="57">
        <v>0</v>
      </c>
      <c r="BN19" s="57">
        <v>0</v>
      </c>
      <c r="BO19" s="57">
        <v>9.7909447451720499</v>
      </c>
      <c r="BP19" s="57">
        <v>-288000</v>
      </c>
      <c r="BQ19" s="57">
        <v>11520</v>
      </c>
      <c r="BR19" s="57">
        <v>0</v>
      </c>
      <c r="BS19" s="57">
        <v>38.400000000000006</v>
      </c>
      <c r="BT19" s="57">
        <v>0</v>
      </c>
      <c r="BU19" s="58">
        <v>9.7909447451720499</v>
      </c>
      <c r="BV19" s="61">
        <v>17.395472372586024</v>
      </c>
      <c r="BW19" s="58">
        <v>400791.68346438202</v>
      </c>
      <c r="BX19" s="61">
        <v>4</v>
      </c>
      <c r="BY19" s="58">
        <v>0</v>
      </c>
    </row>
    <row r="20" spans="1:77" ht="14.45" customHeight="1" x14ac:dyDescent="0.25">
      <c r="A20" s="11">
        <f t="shared" si="0"/>
        <v>16</v>
      </c>
      <c r="B20" s="11">
        <v>4</v>
      </c>
      <c r="C20" s="31">
        <v>0</v>
      </c>
      <c r="D20" s="37">
        <v>4</v>
      </c>
      <c r="E20" s="31">
        <v>5</v>
      </c>
      <c r="F20" s="31">
        <v>25</v>
      </c>
      <c r="G20" s="31">
        <v>15</v>
      </c>
      <c r="H20" s="31">
        <v>15</v>
      </c>
      <c r="I20" s="31">
        <v>240</v>
      </c>
      <c r="J20" s="31">
        <v>12</v>
      </c>
      <c r="K20" s="31">
        <v>-4</v>
      </c>
      <c r="L20" s="15"/>
      <c r="M20" s="15"/>
      <c r="N20" s="15">
        <v>300</v>
      </c>
      <c r="O20" s="15"/>
      <c r="P20" s="15"/>
      <c r="Q20" s="31">
        <v>0</v>
      </c>
      <c r="R20" s="31">
        <v>0</v>
      </c>
      <c r="S20" s="15">
        <v>1200</v>
      </c>
      <c r="T20" s="15">
        <v>1200</v>
      </c>
      <c r="U20" s="15"/>
      <c r="V20" s="15"/>
      <c r="W20" s="15"/>
      <c r="X20" s="30">
        <v>1</v>
      </c>
      <c r="Y20" s="30">
        <v>1</v>
      </c>
      <c r="Z20" s="30">
        <v>0</v>
      </c>
      <c r="AA20" s="30">
        <v>0</v>
      </c>
      <c r="AB20" s="15">
        <v>0</v>
      </c>
      <c r="AC20" s="15">
        <v>0</v>
      </c>
      <c r="AD20" s="30">
        <v>0</v>
      </c>
      <c r="AE20" s="30">
        <v>0</v>
      </c>
      <c r="AG20" s="20">
        <v>16</v>
      </c>
      <c r="AH20" s="12"/>
      <c r="AI20" s="13"/>
      <c r="AJ20" s="14"/>
      <c r="AK20" s="14"/>
      <c r="AL20" s="14"/>
      <c r="AM20" s="12"/>
      <c r="AN20" s="14"/>
      <c r="AO20" s="14"/>
      <c r="AP20" s="14"/>
      <c r="AQ20" s="14"/>
      <c r="AR20" s="12"/>
      <c r="AS20" s="12"/>
      <c r="AT20" s="12"/>
      <c r="AU20" s="12"/>
      <c r="AV20" s="16"/>
      <c r="AW20" s="16"/>
      <c r="AX20" s="14"/>
      <c r="AY20" s="14"/>
      <c r="AZ20" s="14"/>
      <c r="BA20" s="14"/>
      <c r="BB20" s="12"/>
      <c r="BC20" s="12"/>
      <c r="BD20" s="12"/>
      <c r="BE20" s="12"/>
      <c r="BF20" s="12"/>
      <c r="BG20" s="12"/>
      <c r="BH20" s="12"/>
      <c r="BI20" s="12"/>
      <c r="BJ20" s="56">
        <v>0</v>
      </c>
      <c r="BK20" s="57">
        <v>0</v>
      </c>
      <c r="BL20" s="57">
        <v>0</v>
      </c>
      <c r="BM20" s="57">
        <v>0</v>
      </c>
      <c r="BN20" s="57">
        <v>0</v>
      </c>
      <c r="BO20" s="57">
        <v>17.395472372586024</v>
      </c>
      <c r="BP20" s="57">
        <v>-121918.91498488578</v>
      </c>
      <c r="BQ20" s="57">
        <v>16032.411342076479</v>
      </c>
      <c r="BR20" s="57">
        <v>16032.411342076479</v>
      </c>
      <c r="BS20" s="57">
        <v>13.360342785063732</v>
      </c>
      <c r="BT20" s="57">
        <v>13.360342785063732</v>
      </c>
      <c r="BU20" s="58">
        <v>-32.604527627413979</v>
      </c>
      <c r="BV20" s="15">
        <v>22.687091946582804</v>
      </c>
      <c r="BW20" s="58">
        <v>522710.5984492678</v>
      </c>
      <c r="BX20" s="61">
        <v>4</v>
      </c>
      <c r="BY20" s="58">
        <v>0</v>
      </c>
    </row>
    <row r="21" spans="1:77" ht="14.45" customHeight="1" x14ac:dyDescent="0.25">
      <c r="A21" s="11">
        <f t="shared" si="0"/>
        <v>17</v>
      </c>
      <c r="B21" s="11">
        <v>1</v>
      </c>
      <c r="C21" s="31">
        <v>0</v>
      </c>
      <c r="D21" s="37">
        <v>4</v>
      </c>
      <c r="E21" s="31">
        <v>5</v>
      </c>
      <c r="F21" s="31">
        <v>25</v>
      </c>
      <c r="G21" s="31">
        <v>15</v>
      </c>
      <c r="H21" s="31">
        <v>15</v>
      </c>
      <c r="I21" s="31">
        <v>240</v>
      </c>
      <c r="J21" s="31">
        <v>12</v>
      </c>
      <c r="K21" s="31">
        <v>-4</v>
      </c>
      <c r="L21" s="15"/>
      <c r="M21" s="15"/>
      <c r="N21" s="15">
        <v>300</v>
      </c>
      <c r="O21" s="15"/>
      <c r="P21" s="15"/>
      <c r="Q21" s="31">
        <v>0</v>
      </c>
      <c r="R21" s="31">
        <v>0</v>
      </c>
      <c r="S21" s="15">
        <v>1200</v>
      </c>
      <c r="T21" s="15">
        <v>1200</v>
      </c>
      <c r="U21" s="15"/>
      <c r="V21" s="15"/>
      <c r="W21" s="15"/>
      <c r="X21" s="30">
        <v>1</v>
      </c>
      <c r="Y21" s="30">
        <v>1</v>
      </c>
      <c r="Z21" s="30">
        <v>0</v>
      </c>
      <c r="AA21" s="30">
        <v>0</v>
      </c>
      <c r="AB21" s="15">
        <v>0</v>
      </c>
      <c r="AC21" s="15">
        <v>0</v>
      </c>
      <c r="AD21" s="30">
        <v>0</v>
      </c>
      <c r="AE21" s="30">
        <v>0</v>
      </c>
      <c r="AG21" s="20">
        <v>17</v>
      </c>
      <c r="AH21" s="12"/>
      <c r="AI21" s="13"/>
      <c r="AJ21" s="14"/>
      <c r="AK21" s="14"/>
      <c r="AL21" s="14"/>
      <c r="AM21" s="12"/>
      <c r="AN21" s="14"/>
      <c r="AO21" s="14"/>
      <c r="AP21" s="14"/>
      <c r="AQ21" s="14"/>
      <c r="AR21" s="12"/>
      <c r="AS21" s="12"/>
      <c r="AT21" s="12"/>
      <c r="AU21" s="12"/>
      <c r="AV21" s="16"/>
      <c r="AW21" s="16"/>
      <c r="AX21" s="14"/>
      <c r="AY21" s="14"/>
      <c r="AZ21" s="14"/>
      <c r="BA21" s="14"/>
      <c r="BB21" s="12"/>
      <c r="BC21" s="12"/>
      <c r="BD21" s="12"/>
      <c r="BE21" s="12"/>
      <c r="BF21" s="12"/>
      <c r="BG21" s="12"/>
      <c r="BH21" s="12"/>
      <c r="BI21" s="12"/>
      <c r="BJ21" s="56">
        <v>-261355.2992246339</v>
      </c>
      <c r="BK21" s="57">
        <v>0</v>
      </c>
      <c r="BL21" s="57">
        <v>11520</v>
      </c>
      <c r="BM21" s="57">
        <v>0</v>
      </c>
      <c r="BN21" s="57">
        <v>38.400000000000006</v>
      </c>
      <c r="BO21" s="57">
        <v>22.687091946582804</v>
      </c>
      <c r="BP21" s="57">
        <v>0</v>
      </c>
      <c r="BQ21" s="57">
        <v>0</v>
      </c>
      <c r="BR21" s="57">
        <v>0</v>
      </c>
      <c r="BS21" s="57">
        <v>0</v>
      </c>
      <c r="BT21" s="57">
        <v>0</v>
      </c>
      <c r="BU21" s="58">
        <v>22.687091946582804</v>
      </c>
      <c r="BV21" s="61">
        <v>22.687091946582804</v>
      </c>
      <c r="BW21" s="58">
        <v>261355.2992246339</v>
      </c>
      <c r="BX21" s="61">
        <v>0</v>
      </c>
      <c r="BY21" s="58">
        <v>0</v>
      </c>
    </row>
    <row r="22" spans="1:77" ht="14.45" customHeight="1" x14ac:dyDescent="0.25">
      <c r="A22" s="11">
        <f t="shared" si="0"/>
        <v>18</v>
      </c>
      <c r="B22" s="11">
        <v>2</v>
      </c>
      <c r="C22" s="31">
        <v>0</v>
      </c>
      <c r="D22" s="37">
        <v>4</v>
      </c>
      <c r="E22" s="31">
        <v>5</v>
      </c>
      <c r="F22" s="31">
        <v>25</v>
      </c>
      <c r="G22" s="31">
        <v>15</v>
      </c>
      <c r="H22" s="31">
        <v>15</v>
      </c>
      <c r="I22" s="31">
        <v>240</v>
      </c>
      <c r="J22" s="31">
        <v>12</v>
      </c>
      <c r="K22" s="31">
        <v>-4</v>
      </c>
      <c r="L22" s="15"/>
      <c r="M22" s="15"/>
      <c r="N22" s="15">
        <v>300</v>
      </c>
      <c r="O22" s="15"/>
      <c r="P22" s="15"/>
      <c r="Q22" s="31">
        <v>0</v>
      </c>
      <c r="R22" s="31">
        <v>0</v>
      </c>
      <c r="S22" s="15">
        <v>1200</v>
      </c>
      <c r="T22" s="15">
        <v>1200</v>
      </c>
      <c r="U22" s="15"/>
      <c r="V22" s="15"/>
      <c r="W22" s="15"/>
      <c r="X22" s="30">
        <v>1</v>
      </c>
      <c r="Y22" s="30">
        <v>1</v>
      </c>
      <c r="Z22" s="30">
        <v>0</v>
      </c>
      <c r="AA22" s="30">
        <v>0</v>
      </c>
      <c r="AB22" s="15">
        <v>0</v>
      </c>
      <c r="AC22" s="15">
        <v>0</v>
      </c>
      <c r="AD22" s="30">
        <v>0</v>
      </c>
      <c r="AE22" s="30">
        <v>0</v>
      </c>
      <c r="AG22" s="20">
        <v>18</v>
      </c>
      <c r="AH22" s="12"/>
      <c r="AI22" s="13"/>
      <c r="AJ22" s="14"/>
      <c r="AK22" s="14"/>
      <c r="AL22" s="14"/>
      <c r="AM22" s="12"/>
      <c r="AN22" s="14"/>
      <c r="AO22" s="14"/>
      <c r="AP22" s="14"/>
      <c r="AQ22" s="14"/>
      <c r="AR22" s="12"/>
      <c r="AS22" s="12"/>
      <c r="AT22" s="12"/>
      <c r="AU22" s="12"/>
      <c r="AV22" s="16"/>
      <c r="AW22" s="16"/>
      <c r="AX22" s="14"/>
      <c r="AY22" s="14"/>
      <c r="AZ22" s="14"/>
      <c r="BA22" s="14"/>
      <c r="BB22" s="12"/>
      <c r="BC22" s="12"/>
      <c r="BD22" s="12"/>
      <c r="BE22" s="12"/>
      <c r="BF22" s="12"/>
      <c r="BG22" s="12"/>
      <c r="BH22" s="12"/>
      <c r="BI22" s="12"/>
      <c r="BJ22" s="56">
        <v>-148563.61567216867</v>
      </c>
      <c r="BK22" s="57">
        <v>8399.550142038559</v>
      </c>
      <c r="BL22" s="57">
        <v>8399.550142038559</v>
      </c>
      <c r="BM22" s="57">
        <v>6.9996251183654659</v>
      </c>
      <c r="BN22" s="57">
        <v>6.9996251183654659</v>
      </c>
      <c r="BO22" s="57">
        <v>22.687091946582804</v>
      </c>
      <c r="BP22" s="57">
        <v>0</v>
      </c>
      <c r="BQ22" s="57">
        <v>0</v>
      </c>
      <c r="BR22" s="57">
        <v>0</v>
      </c>
      <c r="BS22" s="57">
        <v>0</v>
      </c>
      <c r="BT22" s="57">
        <v>0</v>
      </c>
      <c r="BU22" s="58">
        <v>22.687091946582804</v>
      </c>
      <c r="BV22" s="61">
        <v>9.7909447528181612</v>
      </c>
      <c r="BW22" s="58">
        <v>112791.68355246521</v>
      </c>
      <c r="BX22" s="61">
        <v>0</v>
      </c>
      <c r="BY22" s="58">
        <v>0</v>
      </c>
    </row>
    <row r="23" spans="1:77" ht="14.45" customHeight="1" x14ac:dyDescent="0.25">
      <c r="A23" s="11">
        <f t="shared" si="0"/>
        <v>19</v>
      </c>
      <c r="B23" s="11">
        <v>3</v>
      </c>
      <c r="C23" s="31">
        <v>0</v>
      </c>
      <c r="D23" s="37">
        <v>4</v>
      </c>
      <c r="E23" s="31">
        <v>5</v>
      </c>
      <c r="F23" s="31">
        <v>25</v>
      </c>
      <c r="G23" s="31">
        <v>15</v>
      </c>
      <c r="H23" s="31">
        <v>15</v>
      </c>
      <c r="I23" s="31">
        <v>240</v>
      </c>
      <c r="J23" s="31">
        <v>12</v>
      </c>
      <c r="K23" s="31">
        <v>-4</v>
      </c>
      <c r="L23" s="15"/>
      <c r="M23" s="15"/>
      <c r="N23" s="15">
        <v>300</v>
      </c>
      <c r="O23" s="15"/>
      <c r="P23" s="15"/>
      <c r="Q23" s="31">
        <v>0</v>
      </c>
      <c r="R23" s="31">
        <v>0</v>
      </c>
      <c r="S23" s="15">
        <v>1200</v>
      </c>
      <c r="T23" s="15">
        <v>1200</v>
      </c>
      <c r="U23" s="15"/>
      <c r="V23" s="15"/>
      <c r="W23" s="15"/>
      <c r="X23" s="30">
        <v>1</v>
      </c>
      <c r="Y23" s="30">
        <v>1</v>
      </c>
      <c r="Z23" s="30">
        <v>0</v>
      </c>
      <c r="AA23" s="30">
        <v>0</v>
      </c>
      <c r="AB23" s="15">
        <v>0</v>
      </c>
      <c r="AC23" s="15">
        <v>0</v>
      </c>
      <c r="AD23" s="30">
        <v>0</v>
      </c>
      <c r="AE23" s="30">
        <v>0</v>
      </c>
      <c r="AG23" s="20">
        <v>19</v>
      </c>
      <c r="AH23" s="12"/>
      <c r="AI23" s="13"/>
      <c r="AJ23" s="14"/>
      <c r="AK23" s="14"/>
      <c r="AL23" s="14"/>
      <c r="AM23" s="12"/>
      <c r="AN23" s="14"/>
      <c r="AO23" s="14"/>
      <c r="AP23" s="14"/>
      <c r="AQ23" s="14"/>
      <c r="AR23" s="12"/>
      <c r="AS23" s="12"/>
      <c r="AT23" s="12"/>
      <c r="AU23" s="12"/>
      <c r="AV23" s="16"/>
      <c r="AW23" s="16"/>
      <c r="AX23" s="14"/>
      <c r="AY23" s="14"/>
      <c r="AZ23" s="14"/>
      <c r="BA23" s="14"/>
      <c r="BB23" s="12"/>
      <c r="BC23" s="12"/>
      <c r="BD23" s="12"/>
      <c r="BE23" s="12"/>
      <c r="BF23" s="12"/>
      <c r="BG23" s="12"/>
      <c r="BH23" s="12"/>
      <c r="BI23" s="12"/>
      <c r="BJ23" s="56">
        <v>0</v>
      </c>
      <c r="BK23" s="57">
        <v>0</v>
      </c>
      <c r="BL23" s="57">
        <v>0</v>
      </c>
      <c r="BM23" s="57">
        <v>0</v>
      </c>
      <c r="BN23" s="57">
        <v>0</v>
      </c>
      <c r="BO23" s="57">
        <v>9.7909447528181612</v>
      </c>
      <c r="BP23" s="57">
        <v>-288000</v>
      </c>
      <c r="BQ23" s="57">
        <v>11520</v>
      </c>
      <c r="BR23" s="57">
        <v>0</v>
      </c>
      <c r="BS23" s="57">
        <v>38.400000000000006</v>
      </c>
      <c r="BT23" s="57">
        <v>0</v>
      </c>
      <c r="BU23" s="58">
        <v>9.7909447528181612</v>
      </c>
      <c r="BV23" s="61">
        <v>17.395472376409082</v>
      </c>
      <c r="BW23" s="58">
        <v>400791.68355246523</v>
      </c>
      <c r="BX23" s="61">
        <v>4</v>
      </c>
      <c r="BY23" s="58">
        <v>0</v>
      </c>
    </row>
    <row r="24" spans="1:77" ht="14.45" customHeight="1" x14ac:dyDescent="0.25">
      <c r="A24" s="11">
        <f t="shared" si="0"/>
        <v>20</v>
      </c>
      <c r="B24" s="11">
        <v>4</v>
      </c>
      <c r="C24" s="31">
        <v>0</v>
      </c>
      <c r="D24" s="37">
        <v>4</v>
      </c>
      <c r="E24" s="31">
        <v>5</v>
      </c>
      <c r="F24" s="31">
        <v>25</v>
      </c>
      <c r="G24" s="31">
        <v>15</v>
      </c>
      <c r="H24" s="31">
        <v>15</v>
      </c>
      <c r="I24" s="31">
        <v>240</v>
      </c>
      <c r="J24" s="31">
        <v>12</v>
      </c>
      <c r="K24" s="31">
        <v>-4</v>
      </c>
      <c r="L24" s="15"/>
      <c r="M24" s="15"/>
      <c r="N24" s="15">
        <v>300</v>
      </c>
      <c r="O24" s="15"/>
      <c r="P24" s="15"/>
      <c r="Q24" s="31">
        <v>0</v>
      </c>
      <c r="R24" s="31">
        <v>0</v>
      </c>
      <c r="S24" s="15">
        <v>1200</v>
      </c>
      <c r="T24" s="15">
        <v>1200</v>
      </c>
      <c r="U24" s="15"/>
      <c r="V24" s="15"/>
      <c r="W24" s="15"/>
      <c r="X24" s="30">
        <v>1</v>
      </c>
      <c r="Y24" s="30">
        <v>1</v>
      </c>
      <c r="Z24" s="30">
        <v>0</v>
      </c>
      <c r="AA24" s="30">
        <v>0</v>
      </c>
      <c r="AB24" s="15">
        <v>0</v>
      </c>
      <c r="AC24" s="15">
        <v>0</v>
      </c>
      <c r="AD24" s="30">
        <v>0</v>
      </c>
      <c r="AE24" s="30">
        <v>0</v>
      </c>
      <c r="AG24" s="20">
        <v>20</v>
      </c>
      <c r="AH24" s="12"/>
      <c r="AI24" s="13"/>
      <c r="AJ24" s="14"/>
      <c r="AK24" s="14"/>
      <c r="AL24" s="14"/>
      <c r="AM24" s="12"/>
      <c r="AN24" s="14"/>
      <c r="AO24" s="14"/>
      <c r="AP24" s="14"/>
      <c r="AQ24" s="14"/>
      <c r="AR24" s="12"/>
      <c r="AS24" s="12"/>
      <c r="AT24" s="12"/>
      <c r="AU24" s="12"/>
      <c r="AV24" s="16"/>
      <c r="AW24" s="16"/>
      <c r="AX24" s="14"/>
      <c r="AY24" s="14"/>
      <c r="AZ24" s="14"/>
      <c r="BA24" s="14"/>
      <c r="BB24" s="12"/>
      <c r="BC24" s="12"/>
      <c r="BD24" s="12"/>
      <c r="BE24" s="12"/>
      <c r="BF24" s="12"/>
      <c r="BG24" s="12"/>
      <c r="BH24" s="12"/>
      <c r="BI24" s="12"/>
      <c r="BJ24" s="56">
        <v>0</v>
      </c>
      <c r="BK24" s="57">
        <v>0</v>
      </c>
      <c r="BL24" s="57">
        <v>0</v>
      </c>
      <c r="BM24" s="57">
        <v>0</v>
      </c>
      <c r="BN24" s="57">
        <v>0</v>
      </c>
      <c r="BO24" s="57">
        <v>17.395472376409082</v>
      </c>
      <c r="BP24" s="57">
        <v>-121918.91490399383</v>
      </c>
      <c r="BQ24" s="57">
        <v>16032.411339499189</v>
      </c>
      <c r="BR24" s="57">
        <v>16032.411339499189</v>
      </c>
      <c r="BS24" s="57">
        <v>13.360342782915993</v>
      </c>
      <c r="BT24" s="57">
        <v>13.360342782915993</v>
      </c>
      <c r="BU24" s="58">
        <v>-32.604527623590918</v>
      </c>
      <c r="BV24" s="61">
        <v>22.687091946894924</v>
      </c>
      <c r="BW24" s="58">
        <v>522710.59845645906</v>
      </c>
      <c r="BX24" s="61">
        <v>4</v>
      </c>
      <c r="BY24" s="58">
        <v>0</v>
      </c>
    </row>
    <row r="25" spans="1:77" ht="14.45" customHeight="1" x14ac:dyDescent="0.25">
      <c r="A25" s="11">
        <f t="shared" si="0"/>
        <v>21</v>
      </c>
      <c r="B25" s="11">
        <v>1</v>
      </c>
      <c r="C25" s="31">
        <v>0</v>
      </c>
      <c r="D25" s="37">
        <v>4</v>
      </c>
      <c r="E25" s="31">
        <v>5</v>
      </c>
      <c r="F25" s="31">
        <v>25</v>
      </c>
      <c r="G25" s="31">
        <v>15</v>
      </c>
      <c r="H25" s="31">
        <v>15</v>
      </c>
      <c r="I25" s="31">
        <v>240</v>
      </c>
      <c r="J25" s="31">
        <v>12</v>
      </c>
      <c r="K25" s="31">
        <v>-4</v>
      </c>
      <c r="L25" s="15"/>
      <c r="M25" s="15"/>
      <c r="N25" s="15">
        <v>300</v>
      </c>
      <c r="O25" s="15"/>
      <c r="P25" s="15"/>
      <c r="Q25" s="31">
        <v>0</v>
      </c>
      <c r="R25" s="31">
        <v>0</v>
      </c>
      <c r="S25" s="15">
        <v>1200</v>
      </c>
      <c r="T25" s="15">
        <v>1200</v>
      </c>
      <c r="U25" s="15"/>
      <c r="V25" s="15"/>
      <c r="W25" s="15"/>
      <c r="X25" s="30">
        <v>1</v>
      </c>
      <c r="Y25" s="30">
        <v>1</v>
      </c>
      <c r="Z25" s="30">
        <v>0</v>
      </c>
      <c r="AA25" s="30">
        <v>0</v>
      </c>
      <c r="AB25" s="15">
        <v>0</v>
      </c>
      <c r="AC25" s="15">
        <v>0</v>
      </c>
      <c r="AD25" s="30">
        <v>0</v>
      </c>
      <c r="AE25" s="30">
        <v>0</v>
      </c>
      <c r="AG25" s="20">
        <v>21</v>
      </c>
      <c r="AH25" s="12"/>
      <c r="AI25" s="13"/>
      <c r="AJ25" s="14"/>
      <c r="AK25" s="14"/>
      <c r="AL25" s="14"/>
      <c r="AM25" s="12"/>
      <c r="AN25" s="14"/>
      <c r="AO25" s="14"/>
      <c r="AP25" s="14"/>
      <c r="AQ25" s="14"/>
      <c r="AR25" s="12"/>
      <c r="AS25" s="12"/>
      <c r="AT25" s="12"/>
      <c r="AU25" s="12"/>
      <c r="AV25" s="16"/>
      <c r="AW25" s="16"/>
      <c r="AX25" s="14"/>
      <c r="AY25" s="14"/>
      <c r="AZ25" s="14"/>
      <c r="BA25" s="14"/>
      <c r="BB25" s="12"/>
      <c r="BC25" s="12"/>
      <c r="BD25" s="12"/>
      <c r="BE25" s="12"/>
      <c r="BF25" s="12"/>
      <c r="BG25" s="12"/>
      <c r="BH25" s="12"/>
      <c r="BI25" s="12"/>
      <c r="BJ25" s="56">
        <v>-261355.29922822953</v>
      </c>
      <c r="BK25" s="57">
        <v>0</v>
      </c>
      <c r="BL25" s="57">
        <v>11520</v>
      </c>
      <c r="BM25" s="57">
        <v>0</v>
      </c>
      <c r="BN25" s="57">
        <v>38.400000000000006</v>
      </c>
      <c r="BO25" s="57">
        <v>22.687091946894924</v>
      </c>
      <c r="BP25" s="57">
        <v>0</v>
      </c>
      <c r="BQ25" s="57">
        <v>0</v>
      </c>
      <c r="BR25" s="57">
        <v>0</v>
      </c>
      <c r="BS25" s="57">
        <v>0</v>
      </c>
      <c r="BT25" s="57">
        <v>0</v>
      </c>
      <c r="BU25" s="58">
        <v>22.687091946894924</v>
      </c>
      <c r="BV25" s="61">
        <v>22.687091946894924</v>
      </c>
      <c r="BW25" s="58">
        <v>261355.29922822953</v>
      </c>
      <c r="BX25" s="61">
        <v>0</v>
      </c>
      <c r="BY25" s="58">
        <v>0</v>
      </c>
    </row>
    <row r="26" spans="1:77" ht="14.45" customHeight="1" x14ac:dyDescent="0.25">
      <c r="A26" s="11">
        <f t="shared" si="0"/>
        <v>22</v>
      </c>
      <c r="B26" s="11">
        <v>2</v>
      </c>
      <c r="C26" s="31">
        <v>0</v>
      </c>
      <c r="D26" s="37">
        <v>4</v>
      </c>
      <c r="E26" s="31">
        <v>5</v>
      </c>
      <c r="F26" s="31">
        <v>25</v>
      </c>
      <c r="G26" s="31">
        <v>15</v>
      </c>
      <c r="H26" s="31">
        <v>15</v>
      </c>
      <c r="I26" s="31">
        <v>240</v>
      </c>
      <c r="J26" s="31">
        <v>12</v>
      </c>
      <c r="K26" s="31">
        <v>-4</v>
      </c>
      <c r="L26" s="15"/>
      <c r="M26" s="15"/>
      <c r="N26" s="15">
        <v>300</v>
      </c>
      <c r="O26" s="15"/>
      <c r="P26" s="15"/>
      <c r="Q26" s="31">
        <v>0</v>
      </c>
      <c r="R26" s="31">
        <v>0</v>
      </c>
      <c r="S26" s="15">
        <v>1200</v>
      </c>
      <c r="T26" s="15">
        <v>1200</v>
      </c>
      <c r="U26" s="15"/>
      <c r="V26" s="15"/>
      <c r="W26" s="15"/>
      <c r="X26" s="30">
        <v>1</v>
      </c>
      <c r="Y26" s="30">
        <v>1</v>
      </c>
      <c r="Z26" s="30">
        <v>0</v>
      </c>
      <c r="AA26" s="30">
        <v>0</v>
      </c>
      <c r="AB26" s="15">
        <v>0</v>
      </c>
      <c r="AC26" s="15">
        <v>0</v>
      </c>
      <c r="AD26" s="30">
        <v>0</v>
      </c>
      <c r="AE26" s="30">
        <v>0</v>
      </c>
      <c r="AG26" s="20">
        <v>22</v>
      </c>
      <c r="AH26" s="12"/>
      <c r="AI26" s="13"/>
      <c r="AJ26" s="14"/>
      <c r="AK26" s="14"/>
      <c r="AL26" s="14"/>
      <c r="AM26" s="12"/>
      <c r="AN26" s="14"/>
      <c r="AO26" s="14"/>
      <c r="AP26" s="14"/>
      <c r="AQ26" s="14"/>
      <c r="AR26" s="12"/>
      <c r="AS26" s="12"/>
      <c r="AT26" s="12"/>
      <c r="AU26" s="12"/>
      <c r="AV26" s="16"/>
      <c r="AW26" s="16"/>
      <c r="AX26" s="14"/>
      <c r="AY26" s="14"/>
      <c r="AZ26" s="14"/>
      <c r="BA26" s="14"/>
      <c r="BB26" s="12"/>
      <c r="BC26" s="12"/>
      <c r="BD26" s="12"/>
      <c r="BE26" s="12"/>
      <c r="BF26" s="12"/>
      <c r="BG26" s="12"/>
      <c r="BH26" s="12"/>
      <c r="BI26" s="12"/>
      <c r="BJ26" s="56">
        <v>-148563.61567557405</v>
      </c>
      <c r="BK26" s="57">
        <v>8399.5501420828714</v>
      </c>
      <c r="BL26" s="57">
        <v>8399.5501420828714</v>
      </c>
      <c r="BM26" s="57">
        <v>6.9996251184023937</v>
      </c>
      <c r="BN26" s="57">
        <v>6.9996251184023937</v>
      </c>
      <c r="BO26" s="57">
        <v>22.687091946894924</v>
      </c>
      <c r="BP26" s="57">
        <v>0</v>
      </c>
      <c r="BQ26" s="57">
        <v>0</v>
      </c>
      <c r="BR26" s="57">
        <v>0</v>
      </c>
      <c r="BS26" s="57">
        <v>0</v>
      </c>
      <c r="BT26" s="57">
        <v>0</v>
      </c>
      <c r="BU26" s="58">
        <v>22.687091946894924</v>
      </c>
      <c r="BV26" s="61">
        <v>9.7909447528346778</v>
      </c>
      <c r="BW26" s="58">
        <v>112791.68355265549</v>
      </c>
      <c r="BX26" s="61">
        <v>0</v>
      </c>
      <c r="BY26" s="58">
        <v>0</v>
      </c>
    </row>
    <row r="27" spans="1:77" ht="14.45" customHeight="1" x14ac:dyDescent="0.25">
      <c r="A27" s="11">
        <f t="shared" si="0"/>
        <v>23</v>
      </c>
      <c r="B27" s="11">
        <v>3</v>
      </c>
      <c r="C27" s="31">
        <v>0</v>
      </c>
      <c r="D27" s="37">
        <v>4</v>
      </c>
      <c r="E27" s="31">
        <v>5</v>
      </c>
      <c r="F27" s="31">
        <v>25</v>
      </c>
      <c r="G27" s="31">
        <v>15</v>
      </c>
      <c r="H27" s="31">
        <v>15</v>
      </c>
      <c r="I27" s="31">
        <v>240</v>
      </c>
      <c r="J27" s="31">
        <v>12</v>
      </c>
      <c r="K27" s="31">
        <v>-4</v>
      </c>
      <c r="L27" s="15"/>
      <c r="M27" s="15"/>
      <c r="N27" s="15">
        <v>300</v>
      </c>
      <c r="O27" s="15"/>
      <c r="P27" s="15"/>
      <c r="Q27" s="31">
        <v>0</v>
      </c>
      <c r="R27" s="31">
        <v>0</v>
      </c>
      <c r="S27" s="15">
        <v>1200</v>
      </c>
      <c r="T27" s="15">
        <v>1200</v>
      </c>
      <c r="U27" s="15"/>
      <c r="V27" s="15"/>
      <c r="W27" s="15"/>
      <c r="X27" s="30">
        <v>1</v>
      </c>
      <c r="Y27" s="30">
        <v>1</v>
      </c>
      <c r="Z27" s="30">
        <v>0</v>
      </c>
      <c r="AA27" s="30">
        <v>0</v>
      </c>
      <c r="AB27" s="15">
        <v>0</v>
      </c>
      <c r="AC27" s="15">
        <v>0</v>
      </c>
      <c r="AD27" s="30">
        <v>0</v>
      </c>
      <c r="AE27" s="30">
        <v>0</v>
      </c>
      <c r="AG27" s="20">
        <v>23</v>
      </c>
      <c r="AH27" s="12"/>
      <c r="AI27" s="13"/>
      <c r="AJ27" s="14"/>
      <c r="AK27" s="14"/>
      <c r="AL27" s="14"/>
      <c r="AM27" s="12"/>
      <c r="AN27" s="14"/>
      <c r="AO27" s="14"/>
      <c r="AP27" s="14"/>
      <c r="AQ27" s="14"/>
      <c r="AR27" s="12"/>
      <c r="AS27" s="12"/>
      <c r="AT27" s="12"/>
      <c r="AU27" s="12"/>
      <c r="AV27" s="16"/>
      <c r="AW27" s="16"/>
      <c r="AX27" s="14"/>
      <c r="AY27" s="14"/>
      <c r="AZ27" s="14"/>
      <c r="BA27" s="14"/>
      <c r="BB27" s="12"/>
      <c r="BC27" s="12"/>
      <c r="BD27" s="12"/>
      <c r="BE27" s="12"/>
      <c r="BF27" s="12"/>
      <c r="BG27" s="12"/>
      <c r="BH27" s="12"/>
      <c r="BI27" s="12"/>
      <c r="BJ27" s="56">
        <v>0</v>
      </c>
      <c r="BK27" s="57">
        <v>0</v>
      </c>
      <c r="BL27" s="57">
        <v>0</v>
      </c>
      <c r="BM27" s="57">
        <v>0</v>
      </c>
      <c r="BN27" s="57">
        <v>0</v>
      </c>
      <c r="BO27" s="57">
        <v>9.7909447528346778</v>
      </c>
      <c r="BP27" s="57">
        <v>-288000</v>
      </c>
      <c r="BQ27" s="57">
        <v>11520</v>
      </c>
      <c r="BR27" s="57">
        <v>0</v>
      </c>
      <c r="BS27" s="57">
        <v>38.400000000000006</v>
      </c>
      <c r="BT27" s="57">
        <v>0</v>
      </c>
      <c r="BU27" s="58">
        <v>9.7909447528346778</v>
      </c>
      <c r="BV27" s="61">
        <v>17.395472376417338</v>
      </c>
      <c r="BW27" s="58">
        <v>400791.68355265545</v>
      </c>
      <c r="BX27" s="61">
        <v>4</v>
      </c>
      <c r="BY27" s="58">
        <v>0</v>
      </c>
    </row>
    <row r="28" spans="1:77" ht="14.45" customHeight="1" x14ac:dyDescent="0.25">
      <c r="A28" s="11">
        <f t="shared" si="0"/>
        <v>24</v>
      </c>
      <c r="B28" s="11">
        <v>4</v>
      </c>
      <c r="C28" s="31">
        <v>0</v>
      </c>
      <c r="D28" s="37">
        <v>4</v>
      </c>
      <c r="E28" s="31">
        <v>5</v>
      </c>
      <c r="F28" s="31">
        <v>25</v>
      </c>
      <c r="G28" s="31">
        <v>15</v>
      </c>
      <c r="H28" s="31">
        <v>15</v>
      </c>
      <c r="I28" s="31">
        <v>240</v>
      </c>
      <c r="J28" s="31">
        <v>12</v>
      </c>
      <c r="K28" s="31">
        <v>-4</v>
      </c>
      <c r="L28" s="15"/>
      <c r="M28" s="15"/>
      <c r="N28" s="15">
        <v>300</v>
      </c>
      <c r="O28" s="15"/>
      <c r="P28" s="15"/>
      <c r="Q28" s="31">
        <v>0</v>
      </c>
      <c r="R28" s="31">
        <v>0</v>
      </c>
      <c r="S28" s="15">
        <v>1200</v>
      </c>
      <c r="T28" s="15">
        <v>1200</v>
      </c>
      <c r="U28" s="15"/>
      <c r="V28" s="15"/>
      <c r="W28" s="15"/>
      <c r="X28" s="30">
        <v>1</v>
      </c>
      <c r="Y28" s="30">
        <v>1</v>
      </c>
      <c r="Z28" s="30">
        <v>0</v>
      </c>
      <c r="AA28" s="30">
        <v>0</v>
      </c>
      <c r="AB28" s="15">
        <v>0</v>
      </c>
      <c r="AC28" s="15">
        <v>0</v>
      </c>
      <c r="AD28" s="30">
        <v>0</v>
      </c>
      <c r="AE28" s="30">
        <v>0</v>
      </c>
      <c r="AG28" s="20">
        <v>24</v>
      </c>
      <c r="AH28" s="12"/>
      <c r="AI28" s="13"/>
      <c r="AJ28" s="14"/>
      <c r="AK28" s="14"/>
      <c r="AL28" s="14"/>
      <c r="AM28" s="12"/>
      <c r="AN28" s="14"/>
      <c r="AO28" s="14"/>
      <c r="AP28" s="14"/>
      <c r="AQ28" s="14"/>
      <c r="AR28" s="12"/>
      <c r="AS28" s="12"/>
      <c r="AT28" s="12"/>
      <c r="AU28" s="12"/>
      <c r="AV28" s="16"/>
      <c r="AW28" s="16"/>
      <c r="AX28" s="14"/>
      <c r="AY28" s="14"/>
      <c r="AZ28" s="14"/>
      <c r="BA28" s="14"/>
      <c r="BB28" s="12"/>
      <c r="BC28" s="12"/>
      <c r="BD28" s="12"/>
      <c r="BE28" s="12"/>
      <c r="BF28" s="12"/>
      <c r="BG28" s="12"/>
      <c r="BH28" s="12"/>
      <c r="BI28" s="12"/>
      <c r="BJ28" s="56">
        <v>0</v>
      </c>
      <c r="BK28" s="57">
        <v>0</v>
      </c>
      <c r="BL28" s="57">
        <v>0</v>
      </c>
      <c r="BM28" s="57">
        <v>0</v>
      </c>
      <c r="BN28" s="57">
        <v>0</v>
      </c>
      <c r="BO28" s="57">
        <v>17.395472376417338</v>
      </c>
      <c r="BP28" s="57">
        <v>-121918.91490381915</v>
      </c>
      <c r="BQ28" s="57">
        <v>16032.411339493619</v>
      </c>
      <c r="BR28" s="57">
        <v>16032.411339493619</v>
      </c>
      <c r="BS28" s="57">
        <v>13.360342782911351</v>
      </c>
      <c r="BT28" s="57">
        <v>13.360342782911351</v>
      </c>
      <c r="BU28" s="58">
        <v>-32.604527623582662</v>
      </c>
      <c r="BV28" s="61">
        <v>22.687091946895599</v>
      </c>
      <c r="BW28" s="58">
        <v>522710.5984564746</v>
      </c>
      <c r="BX28" s="61">
        <v>4</v>
      </c>
      <c r="BY28" s="58">
        <v>0</v>
      </c>
    </row>
    <row r="29" spans="1:77" ht="14.45" customHeight="1" x14ac:dyDescent="0.25">
      <c r="A29" s="11">
        <f t="shared" si="0"/>
        <v>25</v>
      </c>
      <c r="B29" s="11">
        <v>1</v>
      </c>
      <c r="C29" s="31">
        <v>0</v>
      </c>
      <c r="D29" s="37">
        <v>4</v>
      </c>
      <c r="E29" s="31">
        <v>5</v>
      </c>
      <c r="F29" s="31">
        <v>25</v>
      </c>
      <c r="G29" s="31">
        <v>15</v>
      </c>
      <c r="H29" s="31">
        <v>15</v>
      </c>
      <c r="I29" s="31">
        <v>240</v>
      </c>
      <c r="J29" s="31">
        <v>12</v>
      </c>
      <c r="K29" s="31">
        <v>-4</v>
      </c>
      <c r="L29" s="15"/>
      <c r="M29" s="15"/>
      <c r="N29" s="15">
        <v>300</v>
      </c>
      <c r="O29" s="15"/>
      <c r="P29" s="15"/>
      <c r="Q29" s="31">
        <v>0</v>
      </c>
      <c r="R29" s="31">
        <v>0</v>
      </c>
      <c r="S29" s="15">
        <v>1200</v>
      </c>
      <c r="T29" s="15">
        <v>1200</v>
      </c>
      <c r="U29" s="15"/>
      <c r="V29" s="15"/>
      <c r="W29" s="15"/>
      <c r="X29" s="30">
        <v>1</v>
      </c>
      <c r="Y29" s="30">
        <v>1</v>
      </c>
      <c r="Z29" s="30">
        <v>0</v>
      </c>
      <c r="AA29" s="30">
        <v>0</v>
      </c>
      <c r="AB29" s="15">
        <v>0</v>
      </c>
      <c r="AC29" s="15">
        <v>0</v>
      </c>
      <c r="AD29" s="30">
        <v>0</v>
      </c>
      <c r="AE29" s="30">
        <v>0</v>
      </c>
      <c r="AG29" s="20">
        <v>25</v>
      </c>
      <c r="AH29" s="12"/>
      <c r="AI29" s="13"/>
      <c r="AJ29" s="14"/>
      <c r="AK29" s="14"/>
      <c r="AL29" s="14"/>
      <c r="AM29" s="12"/>
      <c r="AN29" s="14"/>
      <c r="AO29" s="14"/>
      <c r="AP29" s="14"/>
      <c r="AQ29" s="14"/>
      <c r="AR29" s="12"/>
      <c r="AS29" s="12"/>
      <c r="AT29" s="12"/>
      <c r="AU29" s="12"/>
      <c r="AV29" s="16"/>
      <c r="AW29" s="16"/>
      <c r="AX29" s="14"/>
      <c r="AY29" s="14"/>
      <c r="AZ29" s="14"/>
      <c r="BA29" s="14"/>
      <c r="BB29" s="12"/>
      <c r="BC29" s="12"/>
      <c r="BD29" s="12"/>
      <c r="BE29" s="12"/>
      <c r="BF29" s="12"/>
      <c r="BG29" s="12"/>
      <c r="BH29" s="12"/>
      <c r="BI29" s="12"/>
      <c r="BJ29" s="56">
        <v>-261355.2992282373</v>
      </c>
      <c r="BK29" s="57">
        <v>0</v>
      </c>
      <c r="BL29" s="57">
        <v>11520</v>
      </c>
      <c r="BM29" s="57">
        <v>0</v>
      </c>
      <c r="BN29" s="57">
        <v>38.400000000000006</v>
      </c>
      <c r="BO29" s="57">
        <v>22.687091946895599</v>
      </c>
      <c r="BP29" s="57">
        <v>0</v>
      </c>
      <c r="BQ29" s="57">
        <v>0</v>
      </c>
      <c r="BR29" s="57">
        <v>0</v>
      </c>
      <c r="BS29" s="57">
        <v>0</v>
      </c>
      <c r="BT29" s="57">
        <v>0</v>
      </c>
      <c r="BU29" s="58">
        <v>22.687091946895599</v>
      </c>
      <c r="BV29" s="61">
        <v>22.687091946895599</v>
      </c>
      <c r="BW29" s="58">
        <v>261355.2992282373</v>
      </c>
      <c r="BX29" s="61">
        <v>0</v>
      </c>
      <c r="BY29" s="58">
        <v>0</v>
      </c>
    </row>
    <row r="30" spans="1:77" ht="14.45" customHeight="1" x14ac:dyDescent="0.25">
      <c r="A30" s="11">
        <f t="shared" si="0"/>
        <v>26</v>
      </c>
      <c r="B30" s="11">
        <v>1</v>
      </c>
      <c r="C30" s="31">
        <v>0</v>
      </c>
      <c r="D30" s="37">
        <v>4</v>
      </c>
      <c r="E30" s="31">
        <v>5</v>
      </c>
      <c r="F30" s="31">
        <v>25</v>
      </c>
      <c r="G30" s="31">
        <v>15</v>
      </c>
      <c r="H30" s="31">
        <v>15</v>
      </c>
      <c r="I30" s="31">
        <v>240</v>
      </c>
      <c r="J30" s="31">
        <v>12</v>
      </c>
      <c r="K30" s="31">
        <v>-4</v>
      </c>
      <c r="L30" s="15"/>
      <c r="M30" s="15"/>
      <c r="N30" s="15">
        <v>300</v>
      </c>
      <c r="O30" s="15"/>
      <c r="P30" s="15"/>
      <c r="Q30" s="31">
        <v>0</v>
      </c>
      <c r="R30" s="31">
        <v>0</v>
      </c>
      <c r="S30" s="15">
        <v>1200</v>
      </c>
      <c r="T30" s="15">
        <v>1200</v>
      </c>
      <c r="U30" s="15"/>
      <c r="V30" s="15"/>
      <c r="W30" s="15"/>
      <c r="X30" s="30">
        <v>1</v>
      </c>
      <c r="Y30" s="30">
        <v>1</v>
      </c>
      <c r="Z30" s="30">
        <v>0</v>
      </c>
      <c r="AA30" s="30">
        <v>0</v>
      </c>
      <c r="AB30" s="15">
        <v>0</v>
      </c>
      <c r="AC30" s="15">
        <v>0</v>
      </c>
      <c r="AD30" s="30">
        <v>0</v>
      </c>
      <c r="AE30" s="30">
        <v>0</v>
      </c>
      <c r="AG30" s="20">
        <v>26</v>
      </c>
      <c r="AH30" s="12"/>
      <c r="AI30" s="13"/>
      <c r="AJ30" s="14"/>
      <c r="AK30" s="14"/>
      <c r="AL30" s="14"/>
      <c r="AM30" s="12"/>
      <c r="AN30" s="14"/>
      <c r="AO30" s="14"/>
      <c r="AP30" s="14"/>
      <c r="AQ30" s="14"/>
      <c r="AR30" s="12"/>
      <c r="AS30" s="12"/>
      <c r="AT30" s="12"/>
      <c r="AU30" s="12"/>
      <c r="AV30" s="16"/>
      <c r="AW30" s="16"/>
      <c r="AX30" s="14"/>
      <c r="AY30" s="14"/>
      <c r="AZ30" s="14"/>
      <c r="BA30" s="14"/>
      <c r="BB30" s="12"/>
      <c r="BC30" s="12"/>
      <c r="BD30" s="12"/>
      <c r="BE30" s="12"/>
      <c r="BF30" s="12"/>
      <c r="BG30" s="12"/>
      <c r="BH30" s="12"/>
      <c r="BI30" s="12"/>
      <c r="BJ30" s="56">
        <v>0</v>
      </c>
      <c r="BK30" s="57">
        <v>0</v>
      </c>
      <c r="BL30" s="57">
        <v>0</v>
      </c>
      <c r="BM30" s="57">
        <v>0</v>
      </c>
      <c r="BN30" s="57">
        <v>0</v>
      </c>
      <c r="BO30" s="57">
        <v>22.687091946895599</v>
      </c>
      <c r="BP30" s="57">
        <v>0</v>
      </c>
      <c r="BQ30" s="57">
        <v>0</v>
      </c>
      <c r="BR30" s="57">
        <v>0</v>
      </c>
      <c r="BS30" s="57">
        <v>0</v>
      </c>
      <c r="BT30" s="57">
        <v>0</v>
      </c>
      <c r="BU30" s="58">
        <v>22.687091946895599</v>
      </c>
      <c r="BV30" s="61">
        <v>22.687091946895599</v>
      </c>
      <c r="BW30" s="58">
        <v>261355.2992282373</v>
      </c>
      <c r="BX30" s="61">
        <v>0</v>
      </c>
      <c r="BY30" s="58">
        <v>0</v>
      </c>
    </row>
    <row r="31" spans="1:77" ht="14.45" customHeight="1" x14ac:dyDescent="0.25">
      <c r="A31" s="11">
        <f t="shared" si="0"/>
        <v>27</v>
      </c>
      <c r="B31" s="11">
        <v>2</v>
      </c>
      <c r="C31" s="31">
        <v>0</v>
      </c>
      <c r="D31" s="37">
        <v>4</v>
      </c>
      <c r="E31" s="31">
        <v>5</v>
      </c>
      <c r="F31" s="31">
        <v>25</v>
      </c>
      <c r="G31" s="31">
        <v>15</v>
      </c>
      <c r="H31" s="31">
        <v>15</v>
      </c>
      <c r="I31" s="31">
        <v>240</v>
      </c>
      <c r="J31" s="31">
        <v>12</v>
      </c>
      <c r="K31" s="31">
        <v>-4</v>
      </c>
      <c r="L31" s="15"/>
      <c r="M31" s="15"/>
      <c r="N31" s="15">
        <v>300</v>
      </c>
      <c r="O31" s="15"/>
      <c r="P31" s="15"/>
      <c r="Q31" s="31">
        <v>0</v>
      </c>
      <c r="R31" s="31">
        <v>0</v>
      </c>
      <c r="S31" s="15">
        <v>1200</v>
      </c>
      <c r="T31" s="15">
        <v>1200</v>
      </c>
      <c r="U31" s="15"/>
      <c r="V31" s="15"/>
      <c r="W31" s="15"/>
      <c r="X31" s="30">
        <v>1</v>
      </c>
      <c r="Y31" s="30">
        <v>1</v>
      </c>
      <c r="Z31" s="30">
        <v>0</v>
      </c>
      <c r="AA31" s="30">
        <v>0</v>
      </c>
      <c r="AB31" s="15">
        <v>0</v>
      </c>
      <c r="AC31" s="15">
        <v>0</v>
      </c>
      <c r="AD31" s="30">
        <v>0</v>
      </c>
      <c r="AE31" s="30">
        <v>0</v>
      </c>
      <c r="AG31" s="20">
        <v>27</v>
      </c>
      <c r="AH31" s="12"/>
      <c r="AI31" s="13"/>
      <c r="AJ31" s="14"/>
      <c r="AK31" s="14"/>
      <c r="AL31" s="14"/>
      <c r="AM31" s="12"/>
      <c r="AN31" s="14"/>
      <c r="AO31" s="14"/>
      <c r="AP31" s="14"/>
      <c r="AQ31" s="14"/>
      <c r="AR31" s="12"/>
      <c r="AS31" s="12"/>
      <c r="AT31" s="12"/>
      <c r="AU31" s="12"/>
      <c r="AV31" s="16"/>
      <c r="AW31" s="16"/>
      <c r="AX31" s="14"/>
      <c r="AY31" s="14"/>
      <c r="AZ31" s="14"/>
      <c r="BA31" s="14"/>
      <c r="BB31" s="12"/>
      <c r="BC31" s="12"/>
      <c r="BD31" s="12"/>
      <c r="BE31" s="12"/>
      <c r="BF31" s="12"/>
      <c r="BG31" s="12"/>
      <c r="BH31" s="12"/>
      <c r="BI31" s="12"/>
      <c r="BJ31" s="56">
        <v>-148563.61567558139</v>
      </c>
      <c r="BK31" s="57">
        <v>8399.5501420829642</v>
      </c>
      <c r="BL31" s="57">
        <v>8399.5501420829642</v>
      </c>
      <c r="BM31" s="57">
        <v>6.9996251184024709</v>
      </c>
      <c r="BN31" s="57">
        <v>6.9996251184024709</v>
      </c>
      <c r="BO31" s="57">
        <v>22.687091946895602</v>
      </c>
      <c r="BP31" s="57">
        <v>0</v>
      </c>
      <c r="BQ31" s="57">
        <v>0</v>
      </c>
      <c r="BR31" s="57">
        <v>0</v>
      </c>
      <c r="BS31" s="57">
        <v>0</v>
      </c>
      <c r="BT31" s="57">
        <v>0</v>
      </c>
      <c r="BU31" s="58">
        <v>22.687091946895599</v>
      </c>
      <c r="BV31" s="61">
        <v>9.7909447528347151</v>
      </c>
      <c r="BW31" s="58">
        <v>112791.68355265592</v>
      </c>
      <c r="BX31" s="61">
        <v>0</v>
      </c>
      <c r="BY31" s="58">
        <v>0</v>
      </c>
    </row>
    <row r="32" spans="1:77" s="23" customFormat="1" ht="14.45" customHeight="1" x14ac:dyDescent="0.25">
      <c r="A32" s="11">
        <f t="shared" si="0"/>
        <v>28</v>
      </c>
      <c r="B32" s="11" t="s">
        <v>90</v>
      </c>
      <c r="C32" s="31">
        <v>0</v>
      </c>
      <c r="D32" s="37">
        <v>4</v>
      </c>
      <c r="E32" s="31">
        <v>5</v>
      </c>
      <c r="F32" s="31">
        <v>25</v>
      </c>
      <c r="G32" s="31">
        <v>15</v>
      </c>
      <c r="H32" s="31">
        <v>15</v>
      </c>
      <c r="I32" s="31">
        <v>240</v>
      </c>
      <c r="J32" s="31">
        <v>12</v>
      </c>
      <c r="K32" s="31">
        <v>-4</v>
      </c>
      <c r="L32" s="15"/>
      <c r="M32" s="15"/>
      <c r="N32" s="15">
        <v>300</v>
      </c>
      <c r="O32" s="15"/>
      <c r="P32" s="15"/>
      <c r="Q32" s="31">
        <v>0</v>
      </c>
      <c r="R32" s="31">
        <v>0</v>
      </c>
      <c r="S32" s="15"/>
      <c r="T32" s="15"/>
      <c r="U32" s="15">
        <v>3600</v>
      </c>
      <c r="V32" s="15"/>
      <c r="W32" s="15"/>
      <c r="X32" s="30">
        <v>1</v>
      </c>
      <c r="Y32" s="30">
        <v>1</v>
      </c>
      <c r="Z32" s="30">
        <v>1</v>
      </c>
      <c r="AA32" s="30">
        <v>1</v>
      </c>
      <c r="AB32" s="15">
        <v>0</v>
      </c>
      <c r="AC32" s="15">
        <v>0</v>
      </c>
      <c r="AD32" s="30">
        <v>0</v>
      </c>
      <c r="AE32" s="30">
        <v>0</v>
      </c>
      <c r="AG32" s="20">
        <v>33</v>
      </c>
      <c r="AH32" s="12"/>
      <c r="AI32" s="13"/>
      <c r="AJ32" s="14"/>
      <c r="AK32" s="14"/>
      <c r="AL32" s="14"/>
      <c r="AM32" s="12"/>
      <c r="AN32" s="14"/>
      <c r="AO32" s="14"/>
      <c r="AP32" s="14"/>
      <c r="AQ32" s="14"/>
      <c r="AR32" s="12"/>
      <c r="AS32" s="12"/>
      <c r="AT32" s="12"/>
      <c r="AU32" s="12"/>
      <c r="AV32" s="16"/>
      <c r="AW32" s="16"/>
      <c r="AX32" s="14"/>
      <c r="AY32" s="14"/>
      <c r="AZ32" s="14"/>
      <c r="BA32" s="14"/>
      <c r="BB32" s="12"/>
      <c r="BC32" s="12"/>
      <c r="BD32" s="12"/>
      <c r="BE32" s="12"/>
      <c r="BF32" s="12"/>
      <c r="BG32" s="12"/>
      <c r="BH32" s="12"/>
      <c r="BI32" s="12"/>
      <c r="BJ32" s="56">
        <v>18000</v>
      </c>
      <c r="BK32" s="57">
        <v>3600</v>
      </c>
      <c r="BL32" s="57">
        <v>0</v>
      </c>
      <c r="BM32" s="57">
        <v>1</v>
      </c>
      <c r="BN32" s="57">
        <v>0</v>
      </c>
      <c r="BO32" s="57">
        <v>9.1116066327921637</v>
      </c>
      <c r="BP32" s="57">
        <v>7825.97514289018</v>
      </c>
      <c r="BQ32" s="57">
        <v>0</v>
      </c>
      <c r="BR32" s="57">
        <v>3600</v>
      </c>
      <c r="BS32" s="57">
        <v>0</v>
      </c>
      <c r="BT32" s="57">
        <v>1</v>
      </c>
      <c r="BU32" s="58">
        <v>2.1738819841361612</v>
      </c>
      <c r="BV32" s="61">
        <v>9.1116066327921637</v>
      </c>
      <c r="BW32" s="58">
        <v>104965.70840976572</v>
      </c>
      <c r="BX32" s="61">
        <v>0</v>
      </c>
      <c r="BY32" s="58">
        <v>0</v>
      </c>
    </row>
    <row r="33" spans="1:77" ht="14.45" customHeight="1" x14ac:dyDescent="0.25">
      <c r="A33" s="11">
        <f t="shared" si="0"/>
        <v>29</v>
      </c>
      <c r="B33" s="11">
        <v>2</v>
      </c>
      <c r="C33" s="31">
        <v>0</v>
      </c>
      <c r="D33" s="37">
        <v>4</v>
      </c>
      <c r="E33" s="31">
        <v>5</v>
      </c>
      <c r="F33" s="31">
        <v>25</v>
      </c>
      <c r="G33" s="31">
        <v>15</v>
      </c>
      <c r="H33" s="31">
        <v>15</v>
      </c>
      <c r="I33" s="31">
        <v>240</v>
      </c>
      <c r="J33" s="31">
        <v>12</v>
      </c>
      <c r="K33" s="31">
        <v>-4</v>
      </c>
      <c r="L33" s="15"/>
      <c r="M33" s="15"/>
      <c r="N33" s="15">
        <v>300</v>
      </c>
      <c r="O33" s="15"/>
      <c r="P33" s="15"/>
      <c r="Q33" s="31">
        <v>0</v>
      </c>
      <c r="R33" s="31">
        <v>0</v>
      </c>
      <c r="S33" s="15">
        <v>1200</v>
      </c>
      <c r="T33" s="15">
        <v>1200</v>
      </c>
      <c r="U33" s="15"/>
      <c r="V33" s="15"/>
      <c r="W33" s="15"/>
      <c r="X33" s="30">
        <v>1</v>
      </c>
      <c r="Y33" s="30">
        <v>1</v>
      </c>
      <c r="Z33" s="30">
        <v>0</v>
      </c>
      <c r="AA33" s="30">
        <v>0</v>
      </c>
      <c r="AB33" s="15">
        <v>0</v>
      </c>
      <c r="AC33" s="15">
        <v>0</v>
      </c>
      <c r="AD33" s="30">
        <v>0</v>
      </c>
      <c r="AE33" s="30">
        <v>0</v>
      </c>
      <c r="AG33" s="20">
        <v>28</v>
      </c>
      <c r="AH33" s="12"/>
      <c r="AI33" s="13"/>
      <c r="AJ33" s="14"/>
      <c r="AK33" s="14"/>
      <c r="AL33" s="14"/>
      <c r="AM33" s="12"/>
      <c r="AN33" s="14"/>
      <c r="AO33" s="14"/>
      <c r="AP33" s="14"/>
      <c r="AQ33" s="14"/>
      <c r="AR33" s="12"/>
      <c r="AS33" s="12"/>
      <c r="AT33" s="12"/>
      <c r="AU33" s="12"/>
      <c r="AV33" s="16"/>
      <c r="AW33" s="16"/>
      <c r="AX33" s="14"/>
      <c r="AY33" s="14"/>
      <c r="AZ33" s="14"/>
      <c r="BA33" s="14"/>
      <c r="BB33" s="12"/>
      <c r="BC33" s="12"/>
      <c r="BD33" s="12"/>
      <c r="BE33" s="12"/>
      <c r="BF33" s="12"/>
      <c r="BG33" s="12"/>
      <c r="BH33" s="12"/>
      <c r="BI33" s="12"/>
      <c r="BJ33" s="56">
        <v>-19843.414959841659</v>
      </c>
      <c r="BK33" s="57">
        <v>4826.1948994780505</v>
      </c>
      <c r="BL33" s="57">
        <v>4826.1948994780505</v>
      </c>
      <c r="BM33" s="57">
        <v>4.0218290828983756</v>
      </c>
      <c r="BN33" s="57">
        <v>4.0218290828983756</v>
      </c>
      <c r="BO33" s="57">
        <v>9.1116066327921637</v>
      </c>
      <c r="BP33" s="57">
        <v>0</v>
      </c>
      <c r="BQ33" s="57">
        <v>0</v>
      </c>
      <c r="BR33" s="57">
        <v>0</v>
      </c>
      <c r="BS33" s="57">
        <v>0</v>
      </c>
      <c r="BT33" s="57">
        <v>0</v>
      </c>
      <c r="BU33" s="58">
        <v>9.1116066327921637</v>
      </c>
      <c r="BV33" s="61">
        <v>7.3890879730836865</v>
      </c>
      <c r="BW33" s="58">
        <v>85122.293449924065</v>
      </c>
      <c r="BX33" s="61">
        <v>0</v>
      </c>
      <c r="BY33" s="58">
        <v>0</v>
      </c>
    </row>
    <row r="34" spans="1:77" ht="14.45" customHeight="1" x14ac:dyDescent="0.25">
      <c r="A34" s="11">
        <f t="shared" si="0"/>
        <v>30</v>
      </c>
      <c r="B34" s="11">
        <v>3</v>
      </c>
      <c r="C34" s="31">
        <v>0</v>
      </c>
      <c r="D34" s="37">
        <v>4</v>
      </c>
      <c r="E34" s="31">
        <v>5</v>
      </c>
      <c r="F34" s="31">
        <v>25</v>
      </c>
      <c r="G34" s="31">
        <v>15</v>
      </c>
      <c r="H34" s="31">
        <v>15</v>
      </c>
      <c r="I34" s="31">
        <v>240</v>
      </c>
      <c r="J34" s="31">
        <v>12</v>
      </c>
      <c r="K34" s="31">
        <v>-4</v>
      </c>
      <c r="L34" s="15"/>
      <c r="M34" s="15"/>
      <c r="N34" s="15">
        <v>300</v>
      </c>
      <c r="O34" s="15"/>
      <c r="P34" s="15"/>
      <c r="Q34" s="31">
        <v>0</v>
      </c>
      <c r="R34" s="31">
        <v>0</v>
      </c>
      <c r="S34" s="15">
        <v>1200</v>
      </c>
      <c r="T34" s="15">
        <v>1200</v>
      </c>
      <c r="U34" s="15"/>
      <c r="V34" s="15"/>
      <c r="W34" s="15"/>
      <c r="X34" s="30">
        <v>1</v>
      </c>
      <c r="Y34" s="30">
        <v>1</v>
      </c>
      <c r="Z34" s="30">
        <v>0</v>
      </c>
      <c r="AA34" s="30">
        <v>0</v>
      </c>
      <c r="AB34" s="15">
        <v>0</v>
      </c>
      <c r="AC34" s="15">
        <v>0</v>
      </c>
      <c r="AD34" s="30">
        <v>0</v>
      </c>
      <c r="AE34" s="30">
        <v>0</v>
      </c>
      <c r="AG34" s="20">
        <v>29</v>
      </c>
      <c r="AH34" s="12"/>
      <c r="AI34" s="13"/>
      <c r="AJ34" s="14"/>
      <c r="AK34" s="14"/>
      <c r="AL34" s="14"/>
      <c r="AM34" s="12"/>
      <c r="AN34" s="14"/>
      <c r="AO34" s="14"/>
      <c r="AP34" s="14"/>
      <c r="AQ34" s="14"/>
      <c r="AR34" s="12"/>
      <c r="AS34" s="12"/>
      <c r="AT34" s="12"/>
      <c r="AU34" s="12"/>
      <c r="AV34" s="16"/>
      <c r="AW34" s="16"/>
      <c r="AX34" s="14"/>
      <c r="AY34" s="14"/>
      <c r="AZ34" s="14"/>
      <c r="BA34" s="14"/>
      <c r="BB34" s="12"/>
      <c r="BC34" s="12"/>
      <c r="BD34" s="12"/>
      <c r="BE34" s="12"/>
      <c r="BF34" s="12"/>
      <c r="BG34" s="12"/>
      <c r="BH34" s="12"/>
      <c r="BI34" s="12"/>
      <c r="BJ34" s="56">
        <v>0</v>
      </c>
      <c r="BK34" s="57">
        <v>0</v>
      </c>
      <c r="BL34" s="57">
        <v>0</v>
      </c>
      <c r="BM34" s="57">
        <v>0</v>
      </c>
      <c r="BN34" s="57">
        <v>0</v>
      </c>
      <c r="BO34" s="57">
        <v>7.3890879730836865</v>
      </c>
      <c r="BP34" s="57">
        <v>-288000</v>
      </c>
      <c r="BQ34" s="57">
        <v>11520</v>
      </c>
      <c r="BR34" s="57">
        <v>0</v>
      </c>
      <c r="BS34" s="57">
        <v>38.400000000000006</v>
      </c>
      <c r="BT34" s="57">
        <v>0</v>
      </c>
      <c r="BU34" s="58">
        <v>7.3890879730836865</v>
      </c>
      <c r="BV34" s="61">
        <v>16.194543986541845</v>
      </c>
      <c r="BW34" s="58">
        <v>373122.29344992409</v>
      </c>
      <c r="BX34" s="61">
        <v>4</v>
      </c>
      <c r="BY34" s="58">
        <v>0</v>
      </c>
    </row>
    <row r="35" spans="1:77" ht="14.45" customHeight="1" x14ac:dyDescent="0.25">
      <c r="A35" s="11">
        <f t="shared" si="0"/>
        <v>31</v>
      </c>
      <c r="B35" s="11">
        <v>3</v>
      </c>
      <c r="C35" s="31">
        <v>0</v>
      </c>
      <c r="D35" s="37">
        <v>4</v>
      </c>
      <c r="E35" s="31">
        <v>5</v>
      </c>
      <c r="F35" s="31">
        <v>25</v>
      </c>
      <c r="G35" s="31">
        <v>15</v>
      </c>
      <c r="H35" s="31">
        <v>15</v>
      </c>
      <c r="I35" s="31">
        <v>240</v>
      </c>
      <c r="J35" s="31">
        <v>12</v>
      </c>
      <c r="K35" s="31">
        <v>-4</v>
      </c>
      <c r="L35" s="15"/>
      <c r="M35" s="15"/>
      <c r="N35" s="15">
        <v>300</v>
      </c>
      <c r="O35" s="15"/>
      <c r="P35" s="15"/>
      <c r="Q35" s="31">
        <v>0</v>
      </c>
      <c r="R35" s="31">
        <v>0</v>
      </c>
      <c r="S35" s="15">
        <v>1200</v>
      </c>
      <c r="T35" s="15">
        <v>1200</v>
      </c>
      <c r="U35" s="15"/>
      <c r="V35" s="15"/>
      <c r="W35" s="15"/>
      <c r="X35" s="30">
        <v>1</v>
      </c>
      <c r="Y35" s="30">
        <v>1</v>
      </c>
      <c r="Z35" s="30">
        <v>0</v>
      </c>
      <c r="AA35" s="30">
        <v>0</v>
      </c>
      <c r="AB35" s="15">
        <v>0</v>
      </c>
      <c r="AC35" s="15">
        <v>0</v>
      </c>
      <c r="AD35" s="30">
        <v>0</v>
      </c>
      <c r="AE35" s="30">
        <v>0</v>
      </c>
      <c r="AG35" s="20">
        <v>30</v>
      </c>
      <c r="AH35" s="12"/>
      <c r="AI35" s="13"/>
      <c r="AJ35" s="14"/>
      <c r="AK35" s="14"/>
      <c r="AL35" s="14"/>
      <c r="AM35" s="12"/>
      <c r="AN35" s="14"/>
      <c r="AO35" s="14"/>
      <c r="AP35" s="14"/>
      <c r="AQ35" s="14"/>
      <c r="AR35" s="12"/>
      <c r="AS35" s="12"/>
      <c r="AT35" s="12"/>
      <c r="AU35" s="12"/>
      <c r="AV35" s="16"/>
      <c r="AW35" s="16"/>
      <c r="AX35" s="14"/>
      <c r="AY35" s="14"/>
      <c r="AZ35" s="14"/>
      <c r="BA35" s="14"/>
      <c r="BB35" s="12"/>
      <c r="BC35" s="12"/>
      <c r="BD35" s="12"/>
      <c r="BE35" s="12"/>
      <c r="BF35" s="12"/>
      <c r="BG35" s="12"/>
      <c r="BH35" s="12"/>
      <c r="BI35" s="12"/>
      <c r="BJ35" s="56">
        <v>0</v>
      </c>
      <c r="BK35" s="57">
        <v>0</v>
      </c>
      <c r="BL35" s="57">
        <v>0</v>
      </c>
      <c r="BM35" s="57">
        <v>0</v>
      </c>
      <c r="BN35" s="57">
        <v>0</v>
      </c>
      <c r="BO35" s="57">
        <v>16.194543986541845</v>
      </c>
      <c r="BP35" s="57">
        <v>0</v>
      </c>
      <c r="BQ35" s="57">
        <v>0</v>
      </c>
      <c r="BR35" s="57">
        <v>0</v>
      </c>
      <c r="BS35" s="57">
        <v>0</v>
      </c>
      <c r="BT35" s="57">
        <v>0</v>
      </c>
      <c r="BU35" s="58">
        <v>16.194543986541845</v>
      </c>
      <c r="BV35" s="61">
        <v>16.194543986541845</v>
      </c>
      <c r="BW35" s="58">
        <v>373122.29344992409</v>
      </c>
      <c r="BX35" s="61">
        <v>4</v>
      </c>
      <c r="BY35" s="58">
        <v>0</v>
      </c>
    </row>
    <row r="36" spans="1:77" ht="14.45" customHeight="1" x14ac:dyDescent="0.25">
      <c r="A36" s="11">
        <f t="shared" si="0"/>
        <v>32</v>
      </c>
      <c r="B36" s="11">
        <v>4</v>
      </c>
      <c r="C36" s="31">
        <v>0</v>
      </c>
      <c r="D36" s="37">
        <v>4</v>
      </c>
      <c r="E36" s="31">
        <v>5</v>
      </c>
      <c r="F36" s="31">
        <v>25</v>
      </c>
      <c r="G36" s="31">
        <v>15</v>
      </c>
      <c r="H36" s="31">
        <v>15</v>
      </c>
      <c r="I36" s="31">
        <v>240</v>
      </c>
      <c r="J36" s="31">
        <v>12</v>
      </c>
      <c r="K36" s="31">
        <v>-4</v>
      </c>
      <c r="L36" s="15"/>
      <c r="M36" s="15"/>
      <c r="N36" s="15">
        <v>300</v>
      </c>
      <c r="O36" s="15"/>
      <c r="P36" s="15"/>
      <c r="Q36" s="31">
        <v>0</v>
      </c>
      <c r="R36" s="31">
        <v>0</v>
      </c>
      <c r="S36" s="15">
        <v>1200</v>
      </c>
      <c r="T36" s="15">
        <v>1200</v>
      </c>
      <c r="U36" s="15"/>
      <c r="V36" s="15"/>
      <c r="W36" s="15"/>
      <c r="X36" s="30">
        <v>1</v>
      </c>
      <c r="Y36" s="30">
        <v>1</v>
      </c>
      <c r="Z36" s="30">
        <v>0</v>
      </c>
      <c r="AA36" s="30">
        <v>0</v>
      </c>
      <c r="AB36" s="15">
        <v>0</v>
      </c>
      <c r="AC36" s="15">
        <v>0</v>
      </c>
      <c r="AD36" s="30">
        <v>0</v>
      </c>
      <c r="AE36" s="30">
        <v>0</v>
      </c>
      <c r="AG36" s="20">
        <v>31</v>
      </c>
      <c r="AH36" s="12"/>
      <c r="AI36" s="13"/>
      <c r="AJ36" s="14"/>
      <c r="AK36" s="14"/>
      <c r="AL36" s="14"/>
      <c r="AM36" s="12"/>
      <c r="AN36" s="14"/>
      <c r="AO36" s="14"/>
      <c r="AP36" s="14"/>
      <c r="AQ36" s="14"/>
      <c r="AR36" s="12"/>
      <c r="AS36" s="12"/>
      <c r="AT36" s="12"/>
      <c r="AU36" s="12"/>
      <c r="AV36" s="16"/>
      <c r="AW36" s="16"/>
      <c r="AX36" s="14"/>
      <c r="AY36" s="14"/>
      <c r="AZ36" s="14"/>
      <c r="BA36" s="14"/>
      <c r="BB36" s="12"/>
      <c r="BC36" s="12"/>
      <c r="BD36" s="12"/>
      <c r="BE36" s="12"/>
      <c r="BF36" s="12"/>
      <c r="BG36" s="12"/>
      <c r="BH36" s="12"/>
      <c r="BI36" s="12"/>
      <c r="BJ36" s="56">
        <v>0</v>
      </c>
      <c r="BK36" s="57">
        <v>0</v>
      </c>
      <c r="BL36" s="57">
        <v>0</v>
      </c>
      <c r="BM36" s="57">
        <v>0</v>
      </c>
      <c r="BN36" s="57">
        <v>0</v>
      </c>
      <c r="BO36" s="57">
        <v>16.194543986541845</v>
      </c>
      <c r="BP36" s="57">
        <v>-147732.78702578769</v>
      </c>
      <c r="BQ36" s="57">
        <v>16777.414684713051</v>
      </c>
      <c r="BR36" s="57">
        <v>16777.414684713051</v>
      </c>
      <c r="BS36" s="57">
        <v>13.981178903927542</v>
      </c>
      <c r="BT36" s="57">
        <v>13.981178903927542</v>
      </c>
      <c r="BU36" s="58">
        <v>-33.805456013458155</v>
      </c>
      <c r="BV36" s="61">
        <v>22.606557312313878</v>
      </c>
      <c r="BW36" s="58">
        <v>520855.08047571173</v>
      </c>
      <c r="BX36" s="61">
        <v>4</v>
      </c>
      <c r="BY36" s="58">
        <v>0</v>
      </c>
    </row>
    <row r="37" spans="1:77" s="23" customFormat="1" ht="14.45" customHeight="1" x14ac:dyDescent="0.25">
      <c r="A37" s="11">
        <f t="shared" si="0"/>
        <v>33</v>
      </c>
      <c r="B37" s="11" t="s">
        <v>90</v>
      </c>
      <c r="C37" s="31">
        <v>0</v>
      </c>
      <c r="D37" s="37">
        <v>4</v>
      </c>
      <c r="E37" s="31">
        <v>5</v>
      </c>
      <c r="F37" s="31">
        <v>25</v>
      </c>
      <c r="G37" s="31">
        <v>15</v>
      </c>
      <c r="H37" s="31">
        <v>15</v>
      </c>
      <c r="I37" s="31">
        <v>240</v>
      </c>
      <c r="J37" s="31">
        <v>12</v>
      </c>
      <c r="K37" s="31">
        <v>-4</v>
      </c>
      <c r="L37" s="15"/>
      <c r="M37" s="15"/>
      <c r="N37" s="15">
        <v>300</v>
      </c>
      <c r="O37" s="15"/>
      <c r="P37" s="15"/>
      <c r="Q37" s="31">
        <v>0</v>
      </c>
      <c r="R37" s="31">
        <v>0</v>
      </c>
      <c r="S37" s="15"/>
      <c r="T37" s="15"/>
      <c r="U37" s="15">
        <v>3600</v>
      </c>
      <c r="V37" s="15"/>
      <c r="W37" s="15"/>
      <c r="X37" s="30">
        <v>1</v>
      </c>
      <c r="Y37" s="30">
        <v>1</v>
      </c>
      <c r="Z37" s="30">
        <v>1</v>
      </c>
      <c r="AA37" s="30">
        <v>1</v>
      </c>
      <c r="AB37" s="15">
        <v>0</v>
      </c>
      <c r="AC37" s="15">
        <v>0</v>
      </c>
      <c r="AD37" s="30">
        <v>0</v>
      </c>
      <c r="AE37" s="30">
        <v>0</v>
      </c>
      <c r="AG37" s="20">
        <v>33</v>
      </c>
      <c r="AH37" s="12"/>
      <c r="AI37" s="13"/>
      <c r="AJ37" s="14"/>
      <c r="AK37" s="14"/>
      <c r="AL37" s="14"/>
      <c r="AM37" s="12"/>
      <c r="AN37" s="14"/>
      <c r="AO37" s="14"/>
      <c r="AP37" s="14"/>
      <c r="AQ37" s="14"/>
      <c r="AR37" s="12"/>
      <c r="AS37" s="12"/>
      <c r="AT37" s="12"/>
      <c r="AU37" s="12"/>
      <c r="AV37" s="16"/>
      <c r="AW37" s="16"/>
      <c r="AX37" s="14"/>
      <c r="AY37" s="14"/>
      <c r="AZ37" s="14"/>
      <c r="BA37" s="14"/>
      <c r="BB37" s="12"/>
      <c r="BC37" s="12"/>
      <c r="BD37" s="12"/>
      <c r="BE37" s="12"/>
      <c r="BF37" s="12"/>
      <c r="BG37" s="12"/>
      <c r="BH37" s="12"/>
      <c r="BI37" s="12"/>
      <c r="BJ37" s="56">
        <v>18000</v>
      </c>
      <c r="BK37" s="57">
        <v>3600</v>
      </c>
      <c r="BL37" s="57">
        <v>0</v>
      </c>
      <c r="BM37" s="57">
        <v>1</v>
      </c>
      <c r="BN37" s="57">
        <v>0</v>
      </c>
      <c r="BO37" s="57">
        <v>20.589224902760524</v>
      </c>
      <c r="BP37" s="57">
        <v>46479.338716109225</v>
      </c>
      <c r="BQ37" s="57">
        <v>0</v>
      </c>
      <c r="BR37" s="57">
        <v>3600</v>
      </c>
      <c r="BS37" s="57">
        <v>0</v>
      </c>
      <c r="BT37" s="57">
        <v>1</v>
      </c>
      <c r="BU37" s="58">
        <v>12.910927421141452</v>
      </c>
      <c r="BV37" s="61">
        <v>20.589224902760524</v>
      </c>
      <c r="BW37" s="58">
        <v>474375.74175960245</v>
      </c>
      <c r="BX37" s="61">
        <v>4</v>
      </c>
      <c r="BY37" s="58">
        <v>0</v>
      </c>
    </row>
    <row r="38" spans="1:77" ht="14.45" customHeight="1" x14ac:dyDescent="0.25">
      <c r="A38" s="11">
        <f t="shared" si="0"/>
        <v>34</v>
      </c>
      <c r="B38" s="11">
        <v>4</v>
      </c>
      <c r="C38" s="31">
        <v>0</v>
      </c>
      <c r="D38" s="37">
        <v>4</v>
      </c>
      <c r="E38" s="31">
        <v>5</v>
      </c>
      <c r="F38" s="31">
        <v>25</v>
      </c>
      <c r="G38" s="31">
        <v>15</v>
      </c>
      <c r="H38" s="31">
        <v>15</v>
      </c>
      <c r="I38" s="31">
        <v>240</v>
      </c>
      <c r="J38" s="31">
        <v>12</v>
      </c>
      <c r="K38" s="31">
        <v>-4</v>
      </c>
      <c r="L38" s="15"/>
      <c r="M38" s="15"/>
      <c r="N38" s="15">
        <v>300</v>
      </c>
      <c r="O38" s="15"/>
      <c r="P38" s="15"/>
      <c r="Q38" s="31">
        <v>0</v>
      </c>
      <c r="R38" s="31">
        <v>0</v>
      </c>
      <c r="S38" s="15">
        <v>1200</v>
      </c>
      <c r="T38" s="15">
        <v>1200</v>
      </c>
      <c r="U38" s="15"/>
      <c r="V38" s="15"/>
      <c r="W38" s="15"/>
      <c r="X38" s="30">
        <v>1</v>
      </c>
      <c r="Y38" s="30">
        <v>1</v>
      </c>
      <c r="Z38" s="30">
        <v>0</v>
      </c>
      <c r="AA38" s="30">
        <v>0</v>
      </c>
      <c r="AB38" s="15">
        <v>0</v>
      </c>
      <c r="AC38" s="15">
        <v>0</v>
      </c>
      <c r="AD38" s="30">
        <v>0</v>
      </c>
      <c r="AE38" s="30">
        <v>0</v>
      </c>
      <c r="AG38" s="20">
        <v>32</v>
      </c>
      <c r="AH38" s="12"/>
      <c r="AI38" s="13"/>
      <c r="AJ38" s="14"/>
      <c r="AK38" s="14"/>
      <c r="AL38" s="14"/>
      <c r="AM38" s="12"/>
      <c r="AN38" s="14"/>
      <c r="AO38" s="14"/>
      <c r="AP38" s="14"/>
      <c r="AQ38" s="14"/>
      <c r="AR38" s="12"/>
      <c r="AS38" s="12"/>
      <c r="AT38" s="12"/>
      <c r="AU38" s="12"/>
      <c r="AV38" s="16"/>
      <c r="AW38" s="16"/>
      <c r="AX38" s="14"/>
      <c r="AY38" s="14"/>
      <c r="AZ38" s="14"/>
      <c r="BA38" s="14"/>
      <c r="BB38" s="12"/>
      <c r="BC38" s="12"/>
      <c r="BD38" s="12"/>
      <c r="BE38" s="12"/>
      <c r="BF38" s="12"/>
      <c r="BG38" s="12"/>
      <c r="BH38" s="12"/>
      <c r="BI38" s="12"/>
      <c r="BJ38" s="56">
        <v>0</v>
      </c>
      <c r="BK38" s="57">
        <v>0</v>
      </c>
      <c r="BL38" s="57">
        <v>0</v>
      </c>
      <c r="BM38" s="57">
        <v>0</v>
      </c>
      <c r="BN38" s="57">
        <v>0</v>
      </c>
      <c r="BO38" s="57">
        <v>20.589224902760524</v>
      </c>
      <c r="BP38" s="57">
        <v>-58355.015190256527</v>
      </c>
      <c r="BQ38" s="57">
        <v>13230.104438283084</v>
      </c>
      <c r="BR38" s="57">
        <v>13230.104438283084</v>
      </c>
      <c r="BS38" s="57">
        <v>11.02508703190257</v>
      </c>
      <c r="BT38" s="57">
        <v>11.02508703190257</v>
      </c>
      <c r="BU38" s="58">
        <v>-29.41077509723948</v>
      </c>
      <c r="BV38" s="61">
        <v>23.121994659282073</v>
      </c>
      <c r="BW38" s="58">
        <v>532730.75694985897</v>
      </c>
      <c r="BX38" s="61">
        <v>4</v>
      </c>
      <c r="BY38" s="58">
        <v>0</v>
      </c>
    </row>
  </sheetData>
  <dataConsolidate/>
  <mergeCells count="13">
    <mergeCell ref="X1:AE1"/>
    <mergeCell ref="C1:H1"/>
    <mergeCell ref="I1:K1"/>
    <mergeCell ref="L1:R1"/>
    <mergeCell ref="S1:U1"/>
    <mergeCell ref="V1:W1"/>
    <mergeCell ref="BV1:BY1"/>
    <mergeCell ref="AH1:AQ1"/>
    <mergeCell ref="AR1:AU1"/>
    <mergeCell ref="AV1:AW1"/>
    <mergeCell ref="AX1:BA1"/>
    <mergeCell ref="BB1:BI1"/>
    <mergeCell ref="BJ1:BU1"/>
  </mergeCells>
  <conditionalFormatting sqref="S4:W36 S38:W1048576">
    <cfRule type="cellIs" dxfId="7" priority="8" operator="equal">
      <formula>-999</formula>
    </cfRule>
  </conditionalFormatting>
  <conditionalFormatting sqref="L4:P36 L38:P38">
    <cfRule type="cellIs" dxfId="6" priority="7" operator="equal">
      <formula>-999</formula>
    </cfRule>
  </conditionalFormatting>
  <conditionalFormatting sqref="S32:W32">
    <cfRule type="cellIs" dxfId="5" priority="6" operator="equal">
      <formula>-999</formula>
    </cfRule>
  </conditionalFormatting>
  <conditionalFormatting sqref="L32:P32">
    <cfRule type="cellIs" dxfId="4" priority="5" operator="equal">
      <formula>-999</formula>
    </cfRule>
  </conditionalFormatting>
  <conditionalFormatting sqref="S37:W37">
    <cfRule type="cellIs" dxfId="3" priority="4" operator="equal">
      <formula>-999</formula>
    </cfRule>
  </conditionalFormatting>
  <conditionalFormatting sqref="L37:P37">
    <cfRule type="cellIs" dxfId="2" priority="3" operator="equal">
      <formula>-999</formula>
    </cfRule>
  </conditionalFormatting>
  <conditionalFormatting sqref="S37:W37">
    <cfRule type="cellIs" dxfId="1" priority="2" operator="equal">
      <formula>-999</formula>
    </cfRule>
  </conditionalFormatting>
  <conditionalFormatting sqref="L37:P37">
    <cfRule type="cellIs" dxfId="0" priority="1" operator="equal">
      <formula>-999</formula>
    </cfRule>
  </conditionalFormatting>
  <dataValidations count="1">
    <dataValidation type="list" allowBlank="1" showInputMessage="1" showErrorMessage="1" sqref="B4:B1048576" xr:uid="{3BCEC0B8-8499-4CDB-B37C-9F535C59C0E6}">
      <formula1>"Steady,0,1,2,3,4,Flush"</formula1>
    </dataValidation>
  </dataValidations>
  <pageMargins left="0.70866141732283461" right="0.70866141732283461" top="0.74803149606299213" bottom="0.74803149606299213" header="0.31496062992125978" footer="0.31496062992125978"/>
  <pageSetup paperSize="9" scale="77" fitToWidth="0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Fill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Steady</vt:lpstr>
      <vt:lpstr>Phase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Tjerk Vreeken</dc:creator>
  <cp:lastModifiedBy>Pietje</cp:lastModifiedBy>
  <dcterms:created xsi:type="dcterms:W3CDTF">2019-04-18T13:14:20Z</dcterms:created>
  <dcterms:modified xsi:type="dcterms:W3CDTF">2020-06-10T12:00:45Z</dcterms:modified>
</cp:coreProperties>
</file>